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mento das Receitas" sheetId="1" state="visible" r:id="rId1"/>
    <sheet xmlns:r="http://schemas.openxmlformats.org/officeDocument/2006/relationships" name="Despesas por Secretaria" sheetId="2" state="visible" r:id="rId2"/>
    <sheet xmlns:r="http://schemas.openxmlformats.org/officeDocument/2006/relationships" name="Folha e Limites LRF" sheetId="3" state="visible" r:id="rId3"/>
    <sheet xmlns:r="http://schemas.openxmlformats.org/officeDocument/2006/relationships" name="Dívida Ativa e Inadimplência" sheetId="4" state="visible" r:id="rId4"/>
    <sheet xmlns:r="http://schemas.openxmlformats.org/officeDocument/2006/relationships" name="Balanço e Limites LR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i val="1"/>
      <color rgb="004A5568"/>
      <sz val="10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990000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applyAlignment="1" pivotButton="0" quotePrefix="0" xfId="0">
      <alignment horizontal="right"/>
    </xf>
    <xf numFmtId="164" fontId="5" fillId="0" borderId="2" pivotButton="0" quotePrefix="0" xfId="0"/>
    <xf numFmtId="3" fontId="3" fillId="0" borderId="1" pivotButton="0" quotePrefix="0" xfId="0"/>
    <xf numFmtId="0" fontId="5" fillId="0" borderId="0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6" customWidth="1" min="1" max="1"/>
    <col width="55" customWidth="1" min="2" max="2"/>
    <col width="40" customWidth="1" min="3" max="3"/>
    <col width="36" customWidth="1" min="4" max="4"/>
    <col width="34" customWidth="1" min="5" max="5"/>
    <col width="25" customWidth="1" min="6" max="6"/>
    <col width="37" customWidth="1" min="7" max="7"/>
    <col width="34" customWidth="1" min="8" max="8"/>
  </cols>
  <sheetData>
    <row r="1">
      <c r="A1" s="1" t="inlineStr">
        <is>
          <t>Detalhamento Geral das Receitas Municipais - Prefeitura de Santa Leopoldina (Ano Múltiplo)</t>
        </is>
      </c>
    </row>
    <row r="2">
      <c r="A2" s="2" t="inlineStr">
        <is>
          <t>Discriminação de receitas próprias (IPTU, ISS, ITBI, Taxas), transferências constitucionais e convênios</t>
        </is>
      </c>
    </row>
    <row r="3"/>
    <row r="4">
      <c r="A4" s="3" t="inlineStr">
        <is>
          <t>Código Rubrica</t>
        </is>
      </c>
      <c r="B4" s="3" t="inlineStr">
        <is>
          <t>Categoria da Receita</t>
        </is>
      </c>
      <c r="C4" s="3" t="inlineStr">
        <is>
          <t>Fonte de Origem</t>
        </is>
      </c>
      <c r="D4" s="3" t="inlineStr">
        <is>
          <t>Previsão Orçamentária Anual (BRL)</t>
        </is>
      </c>
      <c r="E4" s="3" t="inlineStr">
        <is>
          <t>Arrecadação Acumulada 12M (BRL)</t>
        </is>
      </c>
      <c r="F4" s="3" t="inlineStr">
        <is>
          <t>Índice de Execução (%)</t>
        </is>
      </c>
      <c r="G4" s="3" t="inlineStr">
        <is>
          <t>Inadimplência / Dívida Ativa (BRL)</t>
        </is>
      </c>
      <c r="H4" s="3" t="inlineStr">
        <is>
          <t>Impacto Orçamentário</t>
        </is>
      </c>
    </row>
    <row r="5">
      <c r="A5" s="4" t="inlineStr">
        <is>
          <t>REC-1.1.1</t>
        </is>
      </c>
      <c r="B5" s="5" t="inlineStr">
        <is>
          <t>IPTU - Imposto Predial e Territorial Urbano</t>
        </is>
      </c>
      <c r="C5" s="5" t="inlineStr">
        <is>
          <t>Receita Própria Direta</t>
        </is>
      </c>
      <c r="D5" s="6" t="n">
        <v>45000000</v>
      </c>
      <c r="E5" s="6" t="n">
        <v>31500000</v>
      </c>
      <c r="F5" s="7">
        <f>E5/D5</f>
        <v/>
      </c>
      <c r="G5" s="6" t="n">
        <v>13500000</v>
      </c>
      <c r="H5" s="5" t="inlineStr">
        <is>
          <t>Inadimplência Elevada (30%)</t>
        </is>
      </c>
    </row>
    <row r="6">
      <c r="A6" s="4" t="inlineStr">
        <is>
          <t>REC-1.1.2</t>
        </is>
      </c>
      <c r="B6" s="5" t="inlineStr">
        <is>
          <t>ISSQN - Imposto Sobre Serviços de Qualq. Natureza</t>
        </is>
      </c>
      <c r="C6" s="5" t="inlineStr">
        <is>
          <t>Receita Própria Direta</t>
        </is>
      </c>
      <c r="D6" s="6" t="n">
        <v>62000000</v>
      </c>
      <c r="E6" s="6" t="n">
        <v>58900000</v>
      </c>
      <c r="F6" s="7">
        <f>E6/D6</f>
        <v/>
      </c>
      <c r="G6" s="6" t="n">
        <v>3100000</v>
      </c>
      <c r="H6" s="5" t="inlineStr">
        <is>
          <t>Estável / Polo de Serviços</t>
        </is>
      </c>
    </row>
    <row r="7">
      <c r="A7" s="4" t="inlineStr">
        <is>
          <t>REC-1.1.3</t>
        </is>
      </c>
      <c r="B7" s="5" t="inlineStr">
        <is>
          <t>ITBI - Imp. Transmissão Bens Imóveis</t>
        </is>
      </c>
      <c r="C7" s="5" t="inlineStr">
        <is>
          <t>Receita Própria Direta</t>
        </is>
      </c>
      <c r="D7" s="6" t="n">
        <v>18000000</v>
      </c>
      <c r="E7" s="6" t="n">
        <v>12600000</v>
      </c>
      <c r="F7" s="7">
        <f>E7/D7</f>
        <v/>
      </c>
      <c r="G7" s="6" t="n">
        <v>5400000</v>
      </c>
      <c r="H7" s="5" t="inlineStr">
        <is>
          <t>Queda por Desaceleração</t>
        </is>
      </c>
    </row>
    <row r="8">
      <c r="A8" s="4" t="inlineStr">
        <is>
          <t>REC-1.1.4</t>
        </is>
      </c>
      <c r="B8" s="5" t="inlineStr">
        <is>
          <t>IRRF - Imposto de Renda Retido na Fonte (Servidores)</t>
        </is>
      </c>
      <c r="C8" s="5" t="inlineStr">
        <is>
          <t>Receita Própria Direta</t>
        </is>
      </c>
      <c r="D8" s="6" t="n">
        <v>22000000</v>
      </c>
      <c r="E8" s="6" t="n">
        <v>21800000</v>
      </c>
      <c r="F8" s="7">
        <f>E8/D8</f>
        <v/>
      </c>
      <c r="G8" s="6" t="n">
        <v>200000</v>
      </c>
      <c r="H8" s="5" t="inlineStr">
        <is>
          <t>Previsível</t>
        </is>
      </c>
    </row>
    <row r="9">
      <c r="A9" s="4" t="inlineStr">
        <is>
          <t>REC-1.2.1</t>
        </is>
      </c>
      <c r="B9" s="5" t="inlineStr">
        <is>
          <t>Taxa de Limpeza Pública e Coleta de Lixo</t>
        </is>
      </c>
      <c r="C9" s="5" t="inlineStr">
        <is>
          <t>Taxas / Receita Própria</t>
        </is>
      </c>
      <c r="D9" s="6" t="n">
        <v>12000000</v>
      </c>
      <c r="E9" s="6" t="n">
        <v>7200000</v>
      </c>
      <c r="F9" s="7">
        <f>E9/D9</f>
        <v/>
      </c>
      <c r="G9" s="6" t="n">
        <v>4800000</v>
      </c>
      <c r="H9" s="5" t="inlineStr">
        <is>
          <t>Déficit Cobertura de Custo</t>
        </is>
      </c>
    </row>
    <row r="10">
      <c r="A10" s="4" t="inlineStr">
        <is>
          <t>REC-1.2.2</t>
        </is>
      </c>
      <c r="B10" s="5" t="inlineStr">
        <is>
          <t>Taxas de Licenciamento, Alvará e Fiscalização</t>
        </is>
      </c>
      <c r="C10" s="5" t="inlineStr">
        <is>
          <t>Taxas / Receita Própria</t>
        </is>
      </c>
      <c r="D10" s="6" t="n">
        <v>8500000</v>
      </c>
      <c r="E10" s="6" t="n">
        <v>8100000</v>
      </c>
      <c r="F10" s="7">
        <f>E10/D10</f>
        <v/>
      </c>
      <c r="G10" s="6" t="n">
        <v>400000</v>
      </c>
      <c r="H10" s="5" t="inlineStr">
        <is>
          <t>Regular</t>
        </is>
      </c>
    </row>
    <row r="11">
      <c r="A11" s="4" t="inlineStr">
        <is>
          <t>REC-2.1.1</t>
        </is>
      </c>
      <c r="B11" s="5" t="inlineStr">
        <is>
          <t>Cota-Parte FPM (Fundo de Participação dos Muns.)</t>
        </is>
      </c>
      <c r="C11" s="5" t="inlineStr">
        <is>
          <t>Transferência União (Constitucional)</t>
        </is>
      </c>
      <c r="D11" s="6" t="n">
        <v>110000000</v>
      </c>
      <c r="E11" s="6" t="n">
        <v>108500000</v>
      </c>
      <c r="F11" s="7">
        <f>E11/D11</f>
        <v/>
      </c>
      <c r="G11" s="6" t="n">
        <v>1500000</v>
      </c>
      <c r="H11" s="5" t="inlineStr">
        <is>
          <t>Flutuação de Repasses</t>
        </is>
      </c>
    </row>
    <row r="12">
      <c r="A12" s="4" t="inlineStr">
        <is>
          <t>REC-2.1.2</t>
        </is>
      </c>
      <c r="B12" s="5" t="inlineStr">
        <is>
          <t>Cota-Parte ICMS (25% do Estado)</t>
        </is>
      </c>
      <c r="C12" s="5" t="inlineStr">
        <is>
          <t>Transferência Estado (Constitucional)</t>
        </is>
      </c>
      <c r="D12" s="6" t="n">
        <v>145000000</v>
      </c>
      <c r="E12" s="6" t="n">
        <v>132000000</v>
      </c>
      <c r="F12" s="7">
        <f>E12/D12</f>
        <v/>
      </c>
      <c r="G12" s="6" t="n">
        <v>13000000</v>
      </c>
      <c r="H12" s="5" t="inlineStr">
        <is>
          <t>Queda de Atividade Industrial</t>
        </is>
      </c>
    </row>
    <row r="13">
      <c r="A13" s="4" t="inlineStr">
        <is>
          <t>REC-2.1.3</t>
        </is>
      </c>
      <c r="B13" s="5" t="inlineStr">
        <is>
          <t>Cota-Parte IPVA (50% do Estado)</t>
        </is>
      </c>
      <c r="C13" s="5" t="inlineStr">
        <is>
          <t>Transferência Estado (Constitucional)</t>
        </is>
      </c>
      <c r="D13" s="6" t="n">
        <v>38000000</v>
      </c>
      <c r="E13" s="6" t="n">
        <v>36500000</v>
      </c>
      <c r="F13" s="7">
        <f>E13/D13</f>
        <v/>
      </c>
      <c r="G13" s="6" t="n">
        <v>1500000</v>
      </c>
      <c r="H13" s="5" t="inlineStr">
        <is>
          <t>Sazonal (1º Semestre)</t>
        </is>
      </c>
    </row>
    <row r="14">
      <c r="A14" s="4" t="inlineStr">
        <is>
          <t>REC-2.2.1</t>
        </is>
      </c>
      <c r="B14" s="5" t="inlineStr">
        <is>
          <t>Repasses FUNDEB (Educação Básica)</t>
        </is>
      </c>
      <c r="C14" s="5" t="inlineStr">
        <is>
          <t>Vinculado / Educação</t>
        </is>
      </c>
      <c r="D14" s="6" t="n">
        <v>85000000</v>
      </c>
      <c r="E14" s="6" t="n">
        <v>84200000</v>
      </c>
      <c r="F14" s="7">
        <f>E14/D14</f>
        <v/>
      </c>
      <c r="G14" s="6" t="n">
        <v>800000</v>
      </c>
      <c r="H14" s="5" t="inlineStr">
        <is>
          <t>Vinculação Rígida (70% Folha)</t>
        </is>
      </c>
    </row>
    <row r="15">
      <c r="A15" s="4" t="inlineStr">
        <is>
          <t>REC-2.2.2</t>
        </is>
      </c>
      <c r="B15" s="5" t="inlineStr">
        <is>
          <t>Repasses FNS / SUS (Saúde Pública - Bloco Ação)</t>
        </is>
      </c>
      <c r="C15" s="5" t="inlineStr">
        <is>
          <t>Vinculado / Saúde</t>
        </is>
      </c>
      <c r="D15" s="6" t="n">
        <v>52000000</v>
      </c>
      <c r="E15" s="6" t="n">
        <v>48500000</v>
      </c>
      <c r="F15" s="7">
        <f>E15/D15</f>
        <v/>
      </c>
      <c r="G15" s="6" t="n">
        <v>3500000</v>
      </c>
      <c r="H15" s="5" t="inlineStr">
        <is>
          <t>Insuficiente p/ Demanda</t>
        </is>
      </c>
    </row>
    <row r="16">
      <c r="A16" s="4" t="inlineStr">
        <is>
          <t>REC-2.3.1</t>
        </is>
      </c>
      <c r="B16" s="5" t="inlineStr">
        <is>
          <t>Convênios de Infraestrutura e Obras</t>
        </is>
      </c>
      <c r="C16" s="5" t="inlineStr">
        <is>
          <t>União / Estado (Discricionário)</t>
        </is>
      </c>
      <c r="D16" s="6" t="n">
        <v>25000000</v>
      </c>
      <c r="E16" s="6" t="n">
        <v>9500000</v>
      </c>
      <c r="F16" s="7">
        <f>E16/D16</f>
        <v/>
      </c>
      <c r="G16" s="6" t="n">
        <v>15500000</v>
      </c>
      <c r="H16" s="5" t="inlineStr">
        <is>
          <t>Atraso na Liberação de Medições</t>
        </is>
      </c>
    </row>
    <row r="17">
      <c r="A17" s="4" t="inlineStr">
        <is>
          <t>REC-3.1.1</t>
        </is>
      </c>
      <c r="B17" s="5" t="inlineStr">
        <is>
          <t>COSIP - Contribuição Iluminação Pública</t>
        </is>
      </c>
      <c r="C17" s="5" t="inlineStr">
        <is>
          <t>Contribuição Especial</t>
        </is>
      </c>
      <c r="D17" s="6" t="n">
        <v>14000000</v>
      </c>
      <c r="E17" s="6" t="n">
        <v>13800000</v>
      </c>
      <c r="F17" s="7">
        <f>E17/D17</f>
        <v/>
      </c>
      <c r="G17" s="6" t="n">
        <v>200000</v>
      </c>
      <c r="H17" s="5" t="inlineStr">
        <is>
          <t>Superavitária</t>
        </is>
      </c>
    </row>
    <row r="18">
      <c r="A18" s="4" t="inlineStr">
        <is>
          <t>REC-3.2.1</t>
        </is>
      </c>
      <c r="B18" s="5" t="inlineStr">
        <is>
          <t>Receita Patrimonial e Rendimentos de Aplicação</t>
        </is>
      </c>
      <c r="C18" s="5" t="inlineStr">
        <is>
          <t>Financeira</t>
        </is>
      </c>
      <c r="D18" s="6" t="n">
        <v>6000000</v>
      </c>
      <c r="E18" s="6" t="n">
        <v>4200000</v>
      </c>
      <c r="F18" s="7">
        <f>E18/D18</f>
        <v/>
      </c>
      <c r="G18" s="6" t="n">
        <v>1800000</v>
      </c>
      <c r="H18" s="5" t="inlineStr">
        <is>
          <t>Queda de Reservas de Caixa</t>
        </is>
      </c>
    </row>
    <row r="19">
      <c r="C19" s="8" t="inlineStr">
        <is>
          <t>TOTAL RECEITAS MUNICIPAIS:</t>
        </is>
      </c>
      <c r="D19" s="9">
        <f>SUM(D5:D18)</f>
        <v/>
      </c>
      <c r="E19" s="9">
        <f>SUM(E5:E18)</f>
        <v/>
      </c>
      <c r="G19" s="9">
        <f>SUM(G5:G18)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4" customWidth="1" min="1" max="1"/>
    <col width="45" customWidth="1" min="2" max="2"/>
    <col width="29" customWidth="1" min="3" max="3"/>
    <col width="24" customWidth="1" min="4" max="4"/>
    <col width="26" customWidth="1" min="5" max="5"/>
    <col width="31" customWidth="1" min="6" max="6"/>
    <col width="30" customWidth="1" min="7" max="7"/>
    <col width="40" customWidth="1" min="8" max="8"/>
  </cols>
  <sheetData>
    <row r="1">
      <c r="A1" s="1" t="inlineStr">
        <is>
          <t>Orçamento de Despesas por Secretaria e Função de Governo</t>
        </is>
      </c>
    </row>
    <row r="2">
      <c r="A2" s="2" t="inlineStr">
        <is>
          <t>Distribuição das despesas fixas, contratuais e investimentos públicos estipulados</t>
        </is>
      </c>
    </row>
    <row r="3"/>
    <row r="4">
      <c r="A4" s="3" t="inlineStr">
        <is>
          <t>Código SEC</t>
        </is>
      </c>
      <c r="B4" s="3" t="inlineStr">
        <is>
          <t>Secretaria Municipal / Órgão</t>
        </is>
      </c>
      <c r="C4" s="3" t="inlineStr">
        <is>
          <t>Função Governo</t>
        </is>
      </c>
      <c r="D4" s="3" t="inlineStr">
        <is>
          <t>Dotação Inicial (BRL)</t>
        </is>
      </c>
      <c r="E4" s="3" t="inlineStr">
        <is>
          <t>Despesa Liquidada (BRL)</t>
        </is>
      </c>
      <c r="F4" s="3" t="inlineStr">
        <is>
          <t>Folha de Pagamento SEC (BRL)</t>
        </is>
      </c>
      <c r="G4" s="3" t="inlineStr">
        <is>
          <t>Investimentos / Obras (BRL)</t>
        </is>
      </c>
      <c r="H4" s="3" t="inlineStr">
        <is>
          <t>Gargalo Orçamentário</t>
        </is>
      </c>
    </row>
    <row r="5">
      <c r="A5" s="4" t="inlineStr">
        <is>
          <t>SEC-EDU</t>
        </is>
      </c>
      <c r="B5" s="5" t="inlineStr">
        <is>
          <t>Secretaria de Educação e Desporto</t>
        </is>
      </c>
      <c r="C5" s="5" t="inlineStr">
        <is>
          <t>Educação Básica</t>
        </is>
      </c>
      <c r="D5" s="6" t="n">
        <v>185000000</v>
      </c>
      <c r="E5" s="6" t="n">
        <v>181000000</v>
      </c>
      <c r="F5" s="6" t="n">
        <v>142000000</v>
      </c>
      <c r="G5" s="6" t="n">
        <v>12000000</v>
      </c>
      <c r="H5" s="5" t="inlineStr">
        <is>
          <t>Cumpre Limite Constitucional (25%)</t>
        </is>
      </c>
    </row>
    <row r="6">
      <c r="A6" s="4" t="inlineStr">
        <is>
          <t>SEC-SAU</t>
        </is>
      </c>
      <c r="B6" s="5" t="inlineStr">
        <is>
          <t>Secretaria Municipal de Saúde</t>
        </is>
      </c>
      <c r="C6" s="5" t="inlineStr">
        <is>
          <t>Saúde Pública / SUS</t>
        </is>
      </c>
      <c r="D6" s="6" t="n">
        <v>165000000</v>
      </c>
      <c r="E6" s="6" t="n">
        <v>168500000</v>
      </c>
      <c r="F6" s="6" t="n">
        <v>105000000</v>
      </c>
      <c r="G6" s="6" t="n">
        <v>8500000</v>
      </c>
      <c r="H6" s="5" t="inlineStr">
        <is>
          <t>Estouro de Orçamento / Judicialização</t>
        </is>
      </c>
    </row>
    <row r="7">
      <c r="A7" s="4" t="inlineStr">
        <is>
          <t>SEC-INF</t>
        </is>
      </c>
      <c r="B7" s="5" t="inlineStr">
        <is>
          <t>Secretaria de Infraestrutura e Obras</t>
        </is>
      </c>
      <c r="C7" s="5" t="inlineStr">
        <is>
          <t>Urbanismo &amp; Mobilidade</t>
        </is>
      </c>
      <c r="D7" s="6" t="n">
        <v>95000000</v>
      </c>
      <c r="E7" s="6" t="n">
        <v>78000000</v>
      </c>
      <c r="F7" s="6" t="n">
        <v>28000000</v>
      </c>
      <c r="G7" s="6" t="n">
        <v>32000000</v>
      </c>
      <c r="H7" s="5" t="inlineStr">
        <is>
          <t>Paralisação por Falso Convênio</t>
        </is>
      </c>
    </row>
    <row r="8">
      <c r="A8" s="4" t="inlineStr">
        <is>
          <t>SEC-ADM</t>
        </is>
      </c>
      <c r="B8" s="5" t="inlineStr">
        <is>
          <t>Secretaria de Administração e Gestão</t>
        </is>
      </c>
      <c r="C8" s="5" t="inlineStr">
        <is>
          <t>Administração Geral</t>
        </is>
      </c>
      <c r="D8" s="6" t="n">
        <v>42000000</v>
      </c>
      <c r="E8" s="6" t="n">
        <v>41200000</v>
      </c>
      <c r="F8" s="6" t="n">
        <v>32000000</v>
      </c>
      <c r="G8" s="6" t="n">
        <v>1500000</v>
      </c>
      <c r="H8" s="5" t="inlineStr">
        <is>
          <t>Custos de TI e Licenças Excesso</t>
        </is>
      </c>
    </row>
    <row r="9">
      <c r="A9" s="4" t="inlineStr">
        <is>
          <t>SEC-FIN</t>
        </is>
      </c>
      <c r="B9" s="5" t="inlineStr">
        <is>
          <t>Secretaria de Finanças e Receita</t>
        </is>
      </c>
      <c r="C9" s="5" t="inlineStr">
        <is>
          <t>Gestão Fiscal</t>
        </is>
      </c>
      <c r="D9" s="6" t="n">
        <v>18000000</v>
      </c>
      <c r="E9" s="6" t="n">
        <v>17500000</v>
      </c>
      <c r="F9" s="6" t="n">
        <v>14500000</v>
      </c>
      <c r="G9" s="6" t="n">
        <v>800000</v>
      </c>
      <c r="H9" s="5" t="inlineStr">
        <is>
          <t>Cobrança Ineficiente da Dívida Ativa</t>
        </is>
      </c>
    </row>
    <row r="10">
      <c r="A10" s="4" t="inlineStr">
        <is>
          <t>SEC-AST</t>
        </is>
      </c>
      <c r="B10" s="5" t="inlineStr">
        <is>
          <t>Secretaria de Assistência Social</t>
        </is>
      </c>
      <c r="C10" s="5" t="inlineStr">
        <is>
          <t>Ação Social / CRAS</t>
        </is>
      </c>
      <c r="D10" s="6" t="n">
        <v>28000000</v>
      </c>
      <c r="E10" s="6" t="n">
        <v>27200000</v>
      </c>
      <c r="F10" s="6" t="n">
        <v>19000000</v>
      </c>
      <c r="G10" s="6" t="n">
        <v>1200000</v>
      </c>
      <c r="H10" s="5" t="inlineStr">
        <is>
          <t>Alta Demanda Vulnerabilidade</t>
        </is>
      </c>
    </row>
    <row r="11">
      <c r="A11" s="4" t="inlineStr">
        <is>
          <t>SEC-AMB</t>
        </is>
      </c>
      <c r="B11" s="5" t="inlineStr">
        <is>
          <t>Secretaria de Meio Ambiente e Saneamento</t>
        </is>
      </c>
      <c r="C11" s="5" t="inlineStr">
        <is>
          <t>Preservação &amp; Lixo</t>
        </is>
      </c>
      <c r="D11" s="6" t="n">
        <v>32000000</v>
      </c>
      <c r="E11" s="6" t="n">
        <v>31800000</v>
      </c>
      <c r="F11" s="6" t="n">
        <v>11000000</v>
      </c>
      <c r="G11" s="6" t="n">
        <v>4500000</v>
      </c>
      <c r="H11" s="5" t="inlineStr">
        <is>
          <t>Custo do Aterro Sanitário Elevado</t>
        </is>
      </c>
    </row>
    <row r="12">
      <c r="A12" s="4" t="inlineStr">
        <is>
          <t>SEC-SEG</t>
        </is>
      </c>
      <c r="B12" s="5" t="inlineStr">
        <is>
          <t>Secretaria de Segurança e Guarda Municipal</t>
        </is>
      </c>
      <c r="C12" s="5" t="inlineStr">
        <is>
          <t>Segurança Pública</t>
        </is>
      </c>
      <c r="D12" s="6" t="n">
        <v>24000000</v>
      </c>
      <c r="E12" s="6" t="n">
        <v>23500000</v>
      </c>
      <c r="F12" s="6" t="n">
        <v>19500000</v>
      </c>
      <c r="G12" s="6" t="n">
        <v>1800000</v>
      </c>
      <c r="H12" s="5" t="inlineStr">
        <is>
          <t>Horas Extras da Guarda</t>
        </is>
      </c>
    </row>
    <row r="13">
      <c r="A13" s="4" t="inlineStr">
        <is>
          <t>SEC-GOV</t>
        </is>
      </c>
      <c r="B13" s="5" t="inlineStr">
        <is>
          <t>Gabinete do Prefeito e Procuradoria (PGM)</t>
        </is>
      </c>
      <c r="C13" s="5" t="inlineStr">
        <is>
          <t>Governança &amp; Jurídico</t>
        </is>
      </c>
      <c r="D13" s="6" t="n">
        <v>16000000</v>
      </c>
      <c r="E13" s="6" t="n">
        <v>15800000</v>
      </c>
      <c r="F13" s="6" t="n">
        <v>13200000</v>
      </c>
      <c r="G13" s="6" t="n">
        <v>200000</v>
      </c>
      <c r="H13" s="5" t="inlineStr">
        <is>
          <t>Precatórios Judiciais Acumulados</t>
        </is>
      </c>
    </row>
    <row r="14">
      <c r="C14" s="8" t="inlineStr">
        <is>
          <t>TOTAL DESPESAS MUNICIPAIS:</t>
        </is>
      </c>
      <c r="D14" s="9">
        <f>SUM(D5:D13)</f>
        <v/>
      </c>
      <c r="E14" s="9">
        <f>SUM(E5:E13)</f>
        <v/>
      </c>
      <c r="F14" s="9">
        <f>SUM(F5:F13)</f>
        <v/>
      </c>
      <c r="G14" s="9">
        <f>SUM(G5:G13)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14"/>
  <sheetViews>
    <sheetView workbookViewId="0">
      <selection activeCell="A1" sqref="A1"/>
    </sheetView>
  </sheetViews>
  <sheetFormatPr baseColWidth="8" defaultRowHeight="15"/>
  <cols>
    <col width="100" customWidth="1" min="1" max="1"/>
    <col width="37" customWidth="1" min="2" max="2"/>
    <col width="21" customWidth="1" min="3" max="3"/>
    <col width="21" customWidth="1" min="4" max="4"/>
    <col width="24" customWidth="1" min="5" max="5"/>
    <col width="28" customWidth="1" min="6" max="6"/>
    <col width="27" customWidth="1" min="7" max="7"/>
    <col width="31" customWidth="1" min="8" max="8"/>
    <col width="23" customWidth="1" min="9" max="9"/>
  </cols>
  <sheetData>
    <row r="1">
      <c r="A1" s="1" t="inlineStr">
        <is>
          <t>Quadro de Servidores Públicos Municipais e Análise de Limites da LRF</t>
        </is>
      </c>
    </row>
    <row r="2">
      <c r="A2" s="2" t="inlineStr">
        <is>
          <t>Categorização numérica de cargos, remunerações, encargos previdenciários e absenteísmo (180 Dias)</t>
        </is>
      </c>
    </row>
    <row r="3"/>
    <row r="4">
      <c r="A4" s="3" t="inlineStr">
        <is>
          <t>Matrícula Nº</t>
        </is>
      </c>
      <c r="B4" s="3" t="inlineStr">
        <is>
          <t>Categoria de Servidores</t>
        </is>
      </c>
      <c r="C4" s="3" t="inlineStr">
        <is>
          <t>Vínculo Funcional</t>
        </is>
      </c>
      <c r="D4" s="3" t="inlineStr">
        <is>
          <t>Secretaria Lotação</t>
        </is>
      </c>
      <c r="E4" s="3" t="inlineStr">
        <is>
          <t>Vencimento Base (BRL)</t>
        </is>
      </c>
      <c r="F4" s="3" t="inlineStr">
        <is>
          <t>Encargos + Patronal (22%)</t>
        </is>
      </c>
      <c r="G4" s="3" t="inlineStr">
        <is>
          <t>Custo Total Mensal (BRL)</t>
        </is>
      </c>
      <c r="H4" s="3" t="inlineStr">
        <is>
          <t>Faltas / Licenças (180 Dias)</t>
        </is>
      </c>
      <c r="I4" s="3" t="inlineStr">
        <is>
          <t>Taxa Absenteísmo (%)</t>
        </is>
      </c>
    </row>
    <row r="5">
      <c r="A5" s="4" t="inlineStr">
        <is>
          <t>SERV-10001</t>
        </is>
      </c>
      <c r="B5" s="5" t="inlineStr">
        <is>
          <t>Professor da Educação Básica (40h)</t>
        </is>
      </c>
      <c r="C5" s="4" t="inlineStr">
        <is>
          <t>Efetivo Concursado</t>
        </is>
      </c>
      <c r="D5" s="4" t="inlineStr">
        <is>
          <t>SEC-EDU</t>
        </is>
      </c>
      <c r="E5" s="6" t="n">
        <v>5012.12</v>
      </c>
      <c r="F5" s="6">
        <f>E5*0.22</f>
        <v/>
      </c>
      <c r="G5" s="6">
        <f>E5+F5</f>
        <v/>
      </c>
      <c r="H5" s="10" t="n">
        <v>4</v>
      </c>
      <c r="I5" s="7">
        <f>H5/(180*0.714)</f>
        <v/>
      </c>
    </row>
    <row r="6">
      <c r="A6" s="4" t="inlineStr">
        <is>
          <t>SERV-10002</t>
        </is>
      </c>
      <c r="B6" s="5" t="inlineStr">
        <is>
          <t>Professor da Educação Básica (40h)</t>
        </is>
      </c>
      <c r="C6" s="4" t="inlineStr">
        <is>
          <t>Efetivo Concursado</t>
        </is>
      </c>
      <c r="D6" s="4" t="inlineStr">
        <is>
          <t>SEC-EDU</t>
        </is>
      </c>
      <c r="E6" s="6" t="n">
        <v>5783.64</v>
      </c>
      <c r="F6" s="6">
        <f>E6*0.22</f>
        <v/>
      </c>
      <c r="G6" s="6">
        <f>E6+F6</f>
        <v/>
      </c>
      <c r="H6" s="10" t="n">
        <v>7</v>
      </c>
      <c r="I6" s="7">
        <f>H6/(180*0.714)</f>
        <v/>
      </c>
    </row>
    <row r="7">
      <c r="A7" s="4" t="inlineStr">
        <is>
          <t>SERV-10003</t>
        </is>
      </c>
      <c r="B7" s="5" t="inlineStr">
        <is>
          <t>Professor da Educação Básica (40h)</t>
        </is>
      </c>
      <c r="C7" s="4" t="inlineStr">
        <is>
          <t>Efetivo Concursado</t>
        </is>
      </c>
      <c r="D7" s="4" t="inlineStr">
        <is>
          <t>SEC-EDU</t>
        </is>
      </c>
      <c r="E7" s="6" t="n">
        <v>4876.45</v>
      </c>
      <c r="F7" s="6">
        <f>E7*0.22</f>
        <v/>
      </c>
      <c r="G7" s="6">
        <f>E7+F7</f>
        <v/>
      </c>
      <c r="H7" s="10" t="n">
        <v>6</v>
      </c>
      <c r="I7" s="7">
        <f>H7/(180*0.714)</f>
        <v/>
      </c>
    </row>
    <row r="8">
      <c r="A8" s="4" t="inlineStr">
        <is>
          <t>SERV-10004</t>
        </is>
      </c>
      <c r="B8" s="5" t="inlineStr">
        <is>
          <t>Professor da Educação Básica (40h)</t>
        </is>
      </c>
      <c r="C8" s="4" t="inlineStr">
        <is>
          <t>Efetivo Concursado</t>
        </is>
      </c>
      <c r="D8" s="4" t="inlineStr">
        <is>
          <t>SEC-EDU</t>
        </is>
      </c>
      <c r="E8" s="6" t="n">
        <v>4804.5</v>
      </c>
      <c r="F8" s="6">
        <f>E8*0.22</f>
        <v/>
      </c>
      <c r="G8" s="6">
        <f>E8+F8</f>
        <v/>
      </c>
      <c r="H8" s="10" t="n">
        <v>7</v>
      </c>
      <c r="I8" s="7">
        <f>H8/(180*0.714)</f>
        <v/>
      </c>
    </row>
    <row r="9">
      <c r="A9" s="4" t="inlineStr">
        <is>
          <t>SERV-10005</t>
        </is>
      </c>
      <c r="B9" s="5" t="inlineStr">
        <is>
          <t>Professor da Educação Básica (40h)</t>
        </is>
      </c>
      <c r="C9" s="4" t="inlineStr">
        <is>
          <t>Efetivo Concursado</t>
        </is>
      </c>
      <c r="D9" s="4" t="inlineStr">
        <is>
          <t>SEC-EDU</t>
        </is>
      </c>
      <c r="E9" s="6" t="n">
        <v>4990.07</v>
      </c>
      <c r="F9" s="6">
        <f>E9*0.22</f>
        <v/>
      </c>
      <c r="G9" s="6">
        <f>E9+F9</f>
        <v/>
      </c>
      <c r="H9" s="10" t="n">
        <v>4</v>
      </c>
      <c r="I9" s="7">
        <f>H9/(180*0.714)</f>
        <v/>
      </c>
    </row>
    <row r="10">
      <c r="A10" s="4" t="inlineStr">
        <is>
          <t>SERV-10006</t>
        </is>
      </c>
      <c r="B10" s="5" t="inlineStr">
        <is>
          <t>Professor da Educação Básica (40h)</t>
        </is>
      </c>
      <c r="C10" s="4" t="inlineStr">
        <is>
          <t>Efetivo Concursado</t>
        </is>
      </c>
      <c r="D10" s="4" t="inlineStr">
        <is>
          <t>SEC-EDU</t>
        </is>
      </c>
      <c r="E10" s="6" t="n">
        <v>5085.99</v>
      </c>
      <c r="F10" s="6">
        <f>E10*0.22</f>
        <v/>
      </c>
      <c r="G10" s="6">
        <f>E10+F10</f>
        <v/>
      </c>
      <c r="H10" s="10" t="n">
        <v>5</v>
      </c>
      <c r="I10" s="7">
        <f>H10/(180*0.714)</f>
        <v/>
      </c>
    </row>
    <row r="11">
      <c r="A11" s="4" t="inlineStr">
        <is>
          <t>SERV-10007</t>
        </is>
      </c>
      <c r="B11" s="5" t="inlineStr">
        <is>
          <t>Professor da Educação Básica (40h)</t>
        </is>
      </c>
      <c r="C11" s="4" t="inlineStr">
        <is>
          <t>Efetivo Concursado</t>
        </is>
      </c>
      <c r="D11" s="4" t="inlineStr">
        <is>
          <t>SEC-EDU</t>
        </is>
      </c>
      <c r="E11" s="6" t="n">
        <v>5598.56</v>
      </c>
      <c r="F11" s="6">
        <f>E11*0.22</f>
        <v/>
      </c>
      <c r="G11" s="6">
        <f>E11+F11</f>
        <v/>
      </c>
      <c r="H11" s="10" t="n">
        <v>2</v>
      </c>
      <c r="I11" s="7">
        <f>H11/(180*0.714)</f>
        <v/>
      </c>
    </row>
    <row r="12">
      <c r="A12" s="4" t="inlineStr">
        <is>
          <t>SERV-10008</t>
        </is>
      </c>
      <c r="B12" s="5" t="inlineStr">
        <is>
          <t>Professor da Educação Básica (40h)</t>
        </is>
      </c>
      <c r="C12" s="4" t="inlineStr">
        <is>
          <t>Efetivo Concursado</t>
        </is>
      </c>
      <c r="D12" s="4" t="inlineStr">
        <is>
          <t>SEC-EDU</t>
        </is>
      </c>
      <c r="E12" s="6" t="n">
        <v>5197.19</v>
      </c>
      <c r="F12" s="6">
        <f>E12*0.22</f>
        <v/>
      </c>
      <c r="G12" s="6">
        <f>E12+F12</f>
        <v/>
      </c>
      <c r="H12" s="10" t="n">
        <v>6</v>
      </c>
      <c r="I12" s="7">
        <f>H12/(180*0.714)</f>
        <v/>
      </c>
    </row>
    <row r="13">
      <c r="A13" s="4" t="inlineStr">
        <is>
          <t>SERV-10009</t>
        </is>
      </c>
      <c r="B13" s="5" t="inlineStr">
        <is>
          <t>Professor da Educação Básica (40h)</t>
        </is>
      </c>
      <c r="C13" s="4" t="inlineStr">
        <is>
          <t>Efetivo Concursado</t>
        </is>
      </c>
      <c r="D13" s="4" t="inlineStr">
        <is>
          <t>SEC-EDU</t>
        </is>
      </c>
      <c r="E13" s="6" t="n">
        <v>5345.61</v>
      </c>
      <c r="F13" s="6">
        <f>E13*0.22</f>
        <v/>
      </c>
      <c r="G13" s="6">
        <f>E13+F13</f>
        <v/>
      </c>
      <c r="H13" s="10" t="n">
        <v>3</v>
      </c>
      <c r="I13" s="7">
        <f>H13/(180*0.714)</f>
        <v/>
      </c>
    </row>
    <row r="14">
      <c r="A14" s="4" t="inlineStr">
        <is>
          <t>SERV-10010</t>
        </is>
      </c>
      <c r="B14" s="5" t="inlineStr">
        <is>
          <t>Professor da Educação Básica (40h)</t>
        </is>
      </c>
      <c r="C14" s="4" t="inlineStr">
        <is>
          <t>Efetivo Concursado</t>
        </is>
      </c>
      <c r="D14" s="4" t="inlineStr">
        <is>
          <t>SEC-EDU</t>
        </is>
      </c>
      <c r="E14" s="6" t="n">
        <v>5649.58</v>
      </c>
      <c r="F14" s="6">
        <f>E14*0.22</f>
        <v/>
      </c>
      <c r="G14" s="6">
        <f>E14+F14</f>
        <v/>
      </c>
      <c r="H14" s="10" t="n">
        <v>2</v>
      </c>
      <c r="I14" s="7">
        <f>H14/(180*0.714)</f>
        <v/>
      </c>
    </row>
    <row r="15">
      <c r="A15" s="4" t="inlineStr">
        <is>
          <t>SERV-10011</t>
        </is>
      </c>
      <c r="B15" s="5" t="inlineStr">
        <is>
          <t>Professor da Educação Básica (40h)</t>
        </is>
      </c>
      <c r="C15" s="4" t="inlineStr">
        <is>
          <t>Efetivo Concursado</t>
        </is>
      </c>
      <c r="D15" s="4" t="inlineStr">
        <is>
          <t>SEC-EDU</t>
        </is>
      </c>
      <c r="E15" s="6" t="n">
        <v>5368.37</v>
      </c>
      <c r="F15" s="6">
        <f>E15*0.22</f>
        <v/>
      </c>
      <c r="G15" s="6">
        <f>E15+F15</f>
        <v/>
      </c>
      <c r="H15" s="10" t="n">
        <v>4</v>
      </c>
      <c r="I15" s="7">
        <f>H15/(180*0.714)</f>
        <v/>
      </c>
    </row>
    <row r="16">
      <c r="A16" s="4" t="inlineStr">
        <is>
          <t>SERV-10012</t>
        </is>
      </c>
      <c r="B16" s="5" t="inlineStr">
        <is>
          <t>Professor da Educação Básica (40h)</t>
        </is>
      </c>
      <c r="C16" s="4" t="inlineStr">
        <is>
          <t>Efetivo Concursado</t>
        </is>
      </c>
      <c r="D16" s="4" t="inlineStr">
        <is>
          <t>SEC-EDU</t>
        </is>
      </c>
      <c r="E16" s="6" t="n">
        <v>5111.2</v>
      </c>
      <c r="F16" s="6">
        <f>E16*0.22</f>
        <v/>
      </c>
      <c r="G16" s="6">
        <f>E16+F16</f>
        <v/>
      </c>
      <c r="H16" s="10" t="n">
        <v>7</v>
      </c>
      <c r="I16" s="7">
        <f>H16/(180*0.714)</f>
        <v/>
      </c>
    </row>
    <row r="17">
      <c r="A17" s="4" t="inlineStr">
        <is>
          <t>SERV-10013</t>
        </is>
      </c>
      <c r="B17" s="5" t="inlineStr">
        <is>
          <t>Professor da Educação Básica (40h)</t>
        </is>
      </c>
      <c r="C17" s="4" t="inlineStr">
        <is>
          <t>Efetivo Concursado</t>
        </is>
      </c>
      <c r="D17" s="4" t="inlineStr">
        <is>
          <t>SEC-EDU</t>
        </is>
      </c>
      <c r="E17" s="6" t="n">
        <v>4815.82</v>
      </c>
      <c r="F17" s="6">
        <f>E17*0.22</f>
        <v/>
      </c>
      <c r="G17" s="6">
        <f>E17+F17</f>
        <v/>
      </c>
      <c r="H17" s="10" t="n">
        <v>7</v>
      </c>
      <c r="I17" s="7">
        <f>H17/(180*0.714)</f>
        <v/>
      </c>
    </row>
    <row r="18">
      <c r="A18" s="4" t="inlineStr">
        <is>
          <t>SERV-10014</t>
        </is>
      </c>
      <c r="B18" s="5" t="inlineStr">
        <is>
          <t>Professor da Educação Básica (40h)</t>
        </is>
      </c>
      <c r="C18" s="4" t="inlineStr">
        <is>
          <t>Efetivo Concursado</t>
        </is>
      </c>
      <c r="D18" s="4" t="inlineStr">
        <is>
          <t>SEC-EDU</t>
        </is>
      </c>
      <c r="E18" s="6" t="n">
        <v>5025.18</v>
      </c>
      <c r="F18" s="6">
        <f>E18*0.22</f>
        <v/>
      </c>
      <c r="G18" s="6">
        <f>E18+F18</f>
        <v/>
      </c>
      <c r="H18" s="10" t="n">
        <v>3</v>
      </c>
      <c r="I18" s="7">
        <f>H18/(180*0.714)</f>
        <v/>
      </c>
    </row>
    <row r="19">
      <c r="A19" s="4" t="inlineStr">
        <is>
          <t>SERV-10015</t>
        </is>
      </c>
      <c r="B19" s="5" t="inlineStr">
        <is>
          <t>Professor da Educação Básica (40h)</t>
        </is>
      </c>
      <c r="C19" s="4" t="inlineStr">
        <is>
          <t>Efetivo Concursado</t>
        </is>
      </c>
      <c r="D19" s="4" t="inlineStr">
        <is>
          <t>SEC-EDU</t>
        </is>
      </c>
      <c r="E19" s="6" t="n">
        <v>5758.43</v>
      </c>
      <c r="F19" s="6">
        <f>E19*0.22</f>
        <v/>
      </c>
      <c r="G19" s="6">
        <f>E19+F19</f>
        <v/>
      </c>
      <c r="H19" s="10" t="n">
        <v>2</v>
      </c>
      <c r="I19" s="7">
        <f>H19/(180*0.714)</f>
        <v/>
      </c>
    </row>
    <row r="20">
      <c r="A20" s="4" t="inlineStr">
        <is>
          <t>SERV-10016</t>
        </is>
      </c>
      <c r="B20" s="5" t="inlineStr">
        <is>
          <t>Professor da Educação Básica (40h)</t>
        </is>
      </c>
      <c r="C20" s="4" t="inlineStr">
        <is>
          <t>Efetivo Concursado</t>
        </is>
      </c>
      <c r="D20" s="4" t="inlineStr">
        <is>
          <t>SEC-EDU</t>
        </is>
      </c>
      <c r="E20" s="6" t="n">
        <v>5789.54</v>
      </c>
      <c r="F20" s="6">
        <f>E20*0.22</f>
        <v/>
      </c>
      <c r="G20" s="6">
        <f>E20+F20</f>
        <v/>
      </c>
      <c r="H20" s="10" t="n">
        <v>6</v>
      </c>
      <c r="I20" s="7">
        <f>H20/(180*0.714)</f>
        <v/>
      </c>
    </row>
    <row r="21">
      <c r="A21" s="4" t="inlineStr">
        <is>
          <t>SERV-10017</t>
        </is>
      </c>
      <c r="B21" s="5" t="inlineStr">
        <is>
          <t>Professor da Educação Básica (40h)</t>
        </is>
      </c>
      <c r="C21" s="4" t="inlineStr">
        <is>
          <t>Efetivo Concursado</t>
        </is>
      </c>
      <c r="D21" s="4" t="inlineStr">
        <is>
          <t>SEC-EDU</t>
        </is>
      </c>
      <c r="E21" s="6" t="n">
        <v>5505.11</v>
      </c>
      <c r="F21" s="6">
        <f>E21*0.22</f>
        <v/>
      </c>
      <c r="G21" s="6">
        <f>E21+F21</f>
        <v/>
      </c>
      <c r="H21" s="10" t="n">
        <v>3</v>
      </c>
      <c r="I21" s="7">
        <f>H21/(180*0.714)</f>
        <v/>
      </c>
    </row>
    <row r="22">
      <c r="A22" s="4" t="inlineStr">
        <is>
          <t>SERV-10018</t>
        </is>
      </c>
      <c r="B22" s="5" t="inlineStr">
        <is>
          <t>Professor da Educação Básica (40h)</t>
        </is>
      </c>
      <c r="C22" s="4" t="inlineStr">
        <is>
          <t>Efetivo Concursado</t>
        </is>
      </c>
      <c r="D22" s="4" t="inlineStr">
        <is>
          <t>SEC-EDU</t>
        </is>
      </c>
      <c r="E22" s="6" t="n">
        <v>5273.27</v>
      </c>
      <c r="F22" s="6">
        <f>E22*0.22</f>
        <v/>
      </c>
      <c r="G22" s="6">
        <f>E22+F22</f>
        <v/>
      </c>
      <c r="H22" s="10" t="n">
        <v>5</v>
      </c>
      <c r="I22" s="7">
        <f>H22/(180*0.714)</f>
        <v/>
      </c>
    </row>
    <row r="23">
      <c r="A23" s="4" t="inlineStr">
        <is>
          <t>SERV-10019</t>
        </is>
      </c>
      <c r="B23" s="5" t="inlineStr">
        <is>
          <t>Professor da Educação Básica (40h)</t>
        </is>
      </c>
      <c r="C23" s="4" t="inlineStr">
        <is>
          <t>Efetivo Concursado</t>
        </is>
      </c>
      <c r="D23" s="4" t="inlineStr">
        <is>
          <t>SEC-EDU</t>
        </is>
      </c>
      <c r="E23" s="6" t="n">
        <v>5798.45</v>
      </c>
      <c r="F23" s="6">
        <f>E23*0.22</f>
        <v/>
      </c>
      <c r="G23" s="6">
        <f>E23+F23</f>
        <v/>
      </c>
      <c r="H23" s="10" t="n">
        <v>2</v>
      </c>
      <c r="I23" s="7">
        <f>H23/(180*0.714)</f>
        <v/>
      </c>
    </row>
    <row r="24">
      <c r="A24" s="4" t="inlineStr">
        <is>
          <t>SERV-10020</t>
        </is>
      </c>
      <c r="B24" s="5" t="inlineStr">
        <is>
          <t>Professor da Educação Básica (40h)</t>
        </is>
      </c>
      <c r="C24" s="4" t="inlineStr">
        <is>
          <t>Efetivo Concursado</t>
        </is>
      </c>
      <c r="D24" s="4" t="inlineStr">
        <is>
          <t>SEC-EDU</t>
        </is>
      </c>
      <c r="E24" s="6" t="n">
        <v>5494.24</v>
      </c>
      <c r="F24" s="6">
        <f>E24*0.22</f>
        <v/>
      </c>
      <c r="G24" s="6">
        <f>E24+F24</f>
        <v/>
      </c>
      <c r="H24" s="10" t="n">
        <v>5</v>
      </c>
      <c r="I24" s="7">
        <f>H24/(180*0.714)</f>
        <v/>
      </c>
    </row>
    <row r="25">
      <c r="A25" s="4" t="inlineStr">
        <is>
          <t>SERV-10021</t>
        </is>
      </c>
      <c r="B25" s="5" t="inlineStr">
        <is>
          <t>Professor da Educação Básica (40h)</t>
        </is>
      </c>
      <c r="C25" s="4" t="inlineStr">
        <is>
          <t>Efetivo Concursado</t>
        </is>
      </c>
      <c r="D25" s="4" t="inlineStr">
        <is>
          <t>SEC-EDU</t>
        </is>
      </c>
      <c r="E25" s="6" t="n">
        <v>5310.28</v>
      </c>
      <c r="F25" s="6">
        <f>E25*0.22</f>
        <v/>
      </c>
      <c r="G25" s="6">
        <f>E25+F25</f>
        <v/>
      </c>
      <c r="H25" s="10" t="n">
        <v>2</v>
      </c>
      <c r="I25" s="7">
        <f>H25/(180*0.714)</f>
        <v/>
      </c>
    </row>
    <row r="26">
      <c r="A26" s="4" t="inlineStr">
        <is>
          <t>SERV-10022</t>
        </is>
      </c>
      <c r="B26" s="5" t="inlineStr">
        <is>
          <t>Professor da Educação Básica (40h)</t>
        </is>
      </c>
      <c r="C26" s="4" t="inlineStr">
        <is>
          <t>Efetivo Concursado</t>
        </is>
      </c>
      <c r="D26" s="4" t="inlineStr">
        <is>
          <t>SEC-EDU</t>
        </is>
      </c>
      <c r="E26" s="6" t="n">
        <v>5051.7</v>
      </c>
      <c r="F26" s="6">
        <f>E26*0.22</f>
        <v/>
      </c>
      <c r="G26" s="6">
        <f>E26+F26</f>
        <v/>
      </c>
      <c r="H26" s="10" t="n">
        <v>4</v>
      </c>
      <c r="I26" s="7">
        <f>H26/(180*0.714)</f>
        <v/>
      </c>
    </row>
    <row r="27">
      <c r="A27" s="4" t="inlineStr">
        <is>
          <t>SERV-10023</t>
        </is>
      </c>
      <c r="B27" s="5" t="inlineStr">
        <is>
          <t>Professor da Educação Básica (40h)</t>
        </is>
      </c>
      <c r="C27" s="4" t="inlineStr">
        <is>
          <t>Efetivo Concursado</t>
        </is>
      </c>
      <c r="D27" s="4" t="inlineStr">
        <is>
          <t>SEC-EDU</t>
        </is>
      </c>
      <c r="E27" s="6" t="n">
        <v>5403.09</v>
      </c>
      <c r="F27" s="6">
        <f>E27*0.22</f>
        <v/>
      </c>
      <c r="G27" s="6">
        <f>E27+F27</f>
        <v/>
      </c>
      <c r="H27" s="10" t="n">
        <v>5</v>
      </c>
      <c r="I27" s="7">
        <f>H27/(180*0.714)</f>
        <v/>
      </c>
    </row>
    <row r="28">
      <c r="A28" s="4" t="inlineStr">
        <is>
          <t>SERV-10024</t>
        </is>
      </c>
      <c r="B28" s="5" t="inlineStr">
        <is>
          <t>Professor da Educação Básica (40h)</t>
        </is>
      </c>
      <c r="C28" s="4" t="inlineStr">
        <is>
          <t>Efetivo Concursado</t>
        </is>
      </c>
      <c r="D28" s="4" t="inlineStr">
        <is>
          <t>SEC-EDU</t>
        </is>
      </c>
      <c r="E28" s="6" t="n">
        <v>5089.55</v>
      </c>
      <c r="F28" s="6">
        <f>E28*0.22</f>
        <v/>
      </c>
      <c r="G28" s="6">
        <f>E28+F28</f>
        <v/>
      </c>
      <c r="H28" s="10" t="n">
        <v>6</v>
      </c>
      <c r="I28" s="7">
        <f>H28/(180*0.714)</f>
        <v/>
      </c>
    </row>
    <row r="29">
      <c r="A29" s="4" t="inlineStr">
        <is>
          <t>SERV-10025</t>
        </is>
      </c>
      <c r="B29" s="5" t="inlineStr">
        <is>
          <t>Professor da Educação Básica (40h)</t>
        </is>
      </c>
      <c r="C29" s="4" t="inlineStr">
        <is>
          <t>Efetivo Concursado</t>
        </is>
      </c>
      <c r="D29" s="4" t="inlineStr">
        <is>
          <t>SEC-EDU</t>
        </is>
      </c>
      <c r="E29" s="6" t="n">
        <v>5252.92</v>
      </c>
      <c r="F29" s="6">
        <f>E29*0.22</f>
        <v/>
      </c>
      <c r="G29" s="6">
        <f>E29+F29</f>
        <v/>
      </c>
      <c r="H29" s="10" t="n">
        <v>2</v>
      </c>
      <c r="I29" s="7">
        <f>H29/(180*0.714)</f>
        <v/>
      </c>
    </row>
    <row r="30">
      <c r="A30" s="4" t="inlineStr">
        <is>
          <t>SERV-10026</t>
        </is>
      </c>
      <c r="B30" s="5" t="inlineStr">
        <is>
          <t>Professor da Educação Básica (40h)</t>
        </is>
      </c>
      <c r="C30" s="4" t="inlineStr">
        <is>
          <t>Efetivo Concursado</t>
        </is>
      </c>
      <c r="D30" s="4" t="inlineStr">
        <is>
          <t>SEC-EDU</t>
        </is>
      </c>
      <c r="E30" s="6" t="n">
        <v>5108.22</v>
      </c>
      <c r="F30" s="6">
        <f>E30*0.22</f>
        <v/>
      </c>
      <c r="G30" s="6">
        <f>E30+F30</f>
        <v/>
      </c>
      <c r="H30" s="10" t="n">
        <v>6</v>
      </c>
      <c r="I30" s="7">
        <f>H30/(180*0.714)</f>
        <v/>
      </c>
    </row>
    <row r="31">
      <c r="A31" s="4" t="inlineStr">
        <is>
          <t>SERV-10027</t>
        </is>
      </c>
      <c r="B31" s="5" t="inlineStr">
        <is>
          <t>Professor da Educação Básica (40h)</t>
        </is>
      </c>
      <c r="C31" s="4" t="inlineStr">
        <is>
          <t>Efetivo Concursado</t>
        </is>
      </c>
      <c r="D31" s="4" t="inlineStr">
        <is>
          <t>SEC-EDU</t>
        </is>
      </c>
      <c r="E31" s="6" t="n">
        <v>5271.03</v>
      </c>
      <c r="F31" s="6">
        <f>E31*0.22</f>
        <v/>
      </c>
      <c r="G31" s="6">
        <f>E31+F31</f>
        <v/>
      </c>
      <c r="H31" s="10" t="n">
        <v>2</v>
      </c>
      <c r="I31" s="7">
        <f>H31/(180*0.714)</f>
        <v/>
      </c>
    </row>
    <row r="32">
      <c r="A32" s="4" t="inlineStr">
        <is>
          <t>SERV-10028</t>
        </is>
      </c>
      <c r="B32" s="5" t="inlineStr">
        <is>
          <t>Professor da Educação Básica (40h)</t>
        </is>
      </c>
      <c r="C32" s="4" t="inlineStr">
        <is>
          <t>Efetivo Concursado</t>
        </is>
      </c>
      <c r="D32" s="4" t="inlineStr">
        <is>
          <t>SEC-EDU</t>
        </is>
      </c>
      <c r="E32" s="6" t="n">
        <v>5003.42</v>
      </c>
      <c r="F32" s="6">
        <f>E32*0.22</f>
        <v/>
      </c>
      <c r="G32" s="6">
        <f>E32+F32</f>
        <v/>
      </c>
      <c r="H32" s="10" t="n">
        <v>4</v>
      </c>
      <c r="I32" s="7">
        <f>H32/(180*0.714)</f>
        <v/>
      </c>
    </row>
    <row r="33">
      <c r="A33" s="4" t="inlineStr">
        <is>
          <t>SERV-10029</t>
        </is>
      </c>
      <c r="B33" s="5" t="inlineStr">
        <is>
          <t>Professor da Educação Básica (40h)</t>
        </is>
      </c>
      <c r="C33" s="4" t="inlineStr">
        <is>
          <t>Efetivo Concursado</t>
        </is>
      </c>
      <c r="D33" s="4" t="inlineStr">
        <is>
          <t>SEC-EDU</t>
        </is>
      </c>
      <c r="E33" s="6" t="n">
        <v>5093.29</v>
      </c>
      <c r="F33" s="6">
        <f>E33*0.22</f>
        <v/>
      </c>
      <c r="G33" s="6">
        <f>E33+F33</f>
        <v/>
      </c>
      <c r="H33" s="10" t="n">
        <v>5</v>
      </c>
      <c r="I33" s="7">
        <f>H33/(180*0.714)</f>
        <v/>
      </c>
    </row>
    <row r="34">
      <c r="A34" s="4" t="inlineStr">
        <is>
          <t>SERV-10030</t>
        </is>
      </c>
      <c r="B34" s="5" t="inlineStr">
        <is>
          <t>Professor da Educação Básica (40h)</t>
        </is>
      </c>
      <c r="C34" s="4" t="inlineStr">
        <is>
          <t>Efetivo Concursado</t>
        </is>
      </c>
      <c r="D34" s="4" t="inlineStr">
        <is>
          <t>SEC-EDU</t>
        </is>
      </c>
      <c r="E34" s="6" t="n">
        <v>4896.98</v>
      </c>
      <c r="F34" s="6">
        <f>E34*0.22</f>
        <v/>
      </c>
      <c r="G34" s="6">
        <f>E34+F34</f>
        <v/>
      </c>
      <c r="H34" s="10" t="n">
        <v>6</v>
      </c>
      <c r="I34" s="7">
        <f>H34/(180*0.714)</f>
        <v/>
      </c>
    </row>
    <row r="35">
      <c r="A35" s="4" t="inlineStr">
        <is>
          <t>SERV-10031</t>
        </is>
      </c>
      <c r="B35" s="5" t="inlineStr">
        <is>
          <t>Professor da Educação Básica (40h)</t>
        </is>
      </c>
      <c r="C35" s="4" t="inlineStr">
        <is>
          <t>Efetivo Concursado</t>
        </is>
      </c>
      <c r="D35" s="4" t="inlineStr">
        <is>
          <t>SEC-EDU</t>
        </is>
      </c>
      <c r="E35" s="6" t="n">
        <v>4871.72</v>
      </c>
      <c r="F35" s="6">
        <f>E35*0.22</f>
        <v/>
      </c>
      <c r="G35" s="6">
        <f>E35+F35</f>
        <v/>
      </c>
      <c r="H35" s="10" t="n">
        <v>5</v>
      </c>
      <c r="I35" s="7">
        <f>H35/(180*0.714)</f>
        <v/>
      </c>
    </row>
    <row r="36">
      <c r="A36" s="4" t="inlineStr">
        <is>
          <t>SERV-10032</t>
        </is>
      </c>
      <c r="B36" s="5" t="inlineStr">
        <is>
          <t>Professor da Educação Básica (40h)</t>
        </is>
      </c>
      <c r="C36" s="4" t="inlineStr">
        <is>
          <t>Efetivo Concursado</t>
        </is>
      </c>
      <c r="D36" s="4" t="inlineStr">
        <is>
          <t>SEC-EDU</t>
        </is>
      </c>
      <c r="E36" s="6" t="n">
        <v>5175.16</v>
      </c>
      <c r="F36" s="6">
        <f>E36*0.22</f>
        <v/>
      </c>
      <c r="G36" s="6">
        <f>E36+F36</f>
        <v/>
      </c>
      <c r="H36" s="10" t="n">
        <v>6</v>
      </c>
      <c r="I36" s="7">
        <f>H36/(180*0.714)</f>
        <v/>
      </c>
    </row>
    <row r="37">
      <c r="A37" s="4" t="inlineStr">
        <is>
          <t>SERV-10033</t>
        </is>
      </c>
      <c r="B37" s="5" t="inlineStr">
        <is>
          <t>Professor da Educação Básica (40h)</t>
        </is>
      </c>
      <c r="C37" s="4" t="inlineStr">
        <is>
          <t>Efetivo Concursado</t>
        </is>
      </c>
      <c r="D37" s="4" t="inlineStr">
        <is>
          <t>SEC-EDU</t>
        </is>
      </c>
      <c r="E37" s="6" t="n">
        <v>4786.49</v>
      </c>
      <c r="F37" s="6">
        <f>E37*0.22</f>
        <v/>
      </c>
      <c r="G37" s="6">
        <f>E37+F37</f>
        <v/>
      </c>
      <c r="H37" s="10" t="n">
        <v>5</v>
      </c>
      <c r="I37" s="7">
        <f>H37/(180*0.714)</f>
        <v/>
      </c>
    </row>
    <row r="38">
      <c r="A38" s="4" t="inlineStr">
        <is>
          <t>SERV-10034</t>
        </is>
      </c>
      <c r="B38" s="5" t="inlineStr">
        <is>
          <t>Professor da Educação Básica (40h)</t>
        </is>
      </c>
      <c r="C38" s="4" t="inlineStr">
        <is>
          <t>Efetivo Concursado</t>
        </is>
      </c>
      <c r="D38" s="4" t="inlineStr">
        <is>
          <t>SEC-EDU</t>
        </is>
      </c>
      <c r="E38" s="6" t="n">
        <v>5199.48</v>
      </c>
      <c r="F38" s="6">
        <f>E38*0.22</f>
        <v/>
      </c>
      <c r="G38" s="6">
        <f>E38+F38</f>
        <v/>
      </c>
      <c r="H38" s="10" t="n">
        <v>7</v>
      </c>
      <c r="I38" s="7">
        <f>H38/(180*0.714)</f>
        <v/>
      </c>
    </row>
    <row r="39">
      <c r="A39" s="4" t="inlineStr">
        <is>
          <t>SERV-10035</t>
        </is>
      </c>
      <c r="B39" s="5" t="inlineStr">
        <is>
          <t>Professor da Educação Básica (40h)</t>
        </is>
      </c>
      <c r="C39" s="4" t="inlineStr">
        <is>
          <t>Efetivo Concursado</t>
        </is>
      </c>
      <c r="D39" s="4" t="inlineStr">
        <is>
          <t>SEC-EDU</t>
        </is>
      </c>
      <c r="E39" s="6" t="n">
        <v>5461.89</v>
      </c>
      <c r="F39" s="6">
        <f>E39*0.22</f>
        <v/>
      </c>
      <c r="G39" s="6">
        <f>E39+F39</f>
        <v/>
      </c>
      <c r="H39" s="10" t="n">
        <v>6</v>
      </c>
      <c r="I39" s="7">
        <f>H39/(180*0.714)</f>
        <v/>
      </c>
    </row>
    <row r="40">
      <c r="A40" s="4" t="inlineStr">
        <is>
          <t>SERV-10036</t>
        </is>
      </c>
      <c r="B40" s="5" t="inlineStr">
        <is>
          <t>Professor da Educação Básica (40h)</t>
        </is>
      </c>
      <c r="C40" s="4" t="inlineStr">
        <is>
          <t>Efetivo Concursado</t>
        </is>
      </c>
      <c r="D40" s="4" t="inlineStr">
        <is>
          <t>SEC-EDU</t>
        </is>
      </c>
      <c r="E40" s="6" t="n">
        <v>5710.26</v>
      </c>
      <c r="F40" s="6">
        <f>E40*0.22</f>
        <v/>
      </c>
      <c r="G40" s="6">
        <f>E40+F40</f>
        <v/>
      </c>
      <c r="H40" s="10" t="n">
        <v>2</v>
      </c>
      <c r="I40" s="7">
        <f>H40/(180*0.714)</f>
        <v/>
      </c>
    </row>
    <row r="41">
      <c r="A41" s="4" t="inlineStr">
        <is>
          <t>SERV-10037</t>
        </is>
      </c>
      <c r="B41" s="5" t="inlineStr">
        <is>
          <t>Professor da Educação Básica (40h)</t>
        </is>
      </c>
      <c r="C41" s="4" t="inlineStr">
        <is>
          <t>Efetivo Concursado</t>
        </is>
      </c>
      <c r="D41" s="4" t="inlineStr">
        <is>
          <t>SEC-EDU</t>
        </is>
      </c>
      <c r="E41" s="6" t="n">
        <v>5472.35</v>
      </c>
      <c r="F41" s="6">
        <f>E41*0.22</f>
        <v/>
      </c>
      <c r="G41" s="6">
        <f>E41+F41</f>
        <v/>
      </c>
      <c r="H41" s="10" t="n">
        <v>3</v>
      </c>
      <c r="I41" s="7">
        <f>H41/(180*0.714)</f>
        <v/>
      </c>
    </row>
    <row r="42">
      <c r="A42" s="4" t="inlineStr">
        <is>
          <t>SERV-10038</t>
        </is>
      </c>
      <c r="B42" s="5" t="inlineStr">
        <is>
          <t>Professor da Educação Básica (40h)</t>
        </is>
      </c>
      <c r="C42" s="4" t="inlineStr">
        <is>
          <t>Efetivo Concursado</t>
        </is>
      </c>
      <c r="D42" s="4" t="inlineStr">
        <is>
          <t>SEC-EDU</t>
        </is>
      </c>
      <c r="E42" s="6" t="n">
        <v>5014.48</v>
      </c>
      <c r="F42" s="6">
        <f>E42*0.22</f>
        <v/>
      </c>
      <c r="G42" s="6">
        <f>E42+F42</f>
        <v/>
      </c>
      <c r="H42" s="10" t="n">
        <v>7</v>
      </c>
      <c r="I42" s="7">
        <f>H42/(180*0.714)</f>
        <v/>
      </c>
    </row>
    <row r="43">
      <c r="A43" s="4" t="inlineStr">
        <is>
          <t>SERV-10039</t>
        </is>
      </c>
      <c r="B43" s="5" t="inlineStr">
        <is>
          <t>Professor da Educação Básica (40h)</t>
        </is>
      </c>
      <c r="C43" s="4" t="inlineStr">
        <is>
          <t>Efetivo Concursado</t>
        </is>
      </c>
      <c r="D43" s="4" t="inlineStr">
        <is>
          <t>SEC-EDU</t>
        </is>
      </c>
      <c r="E43" s="6" t="n">
        <v>5395.01</v>
      </c>
      <c r="F43" s="6">
        <f>E43*0.22</f>
        <v/>
      </c>
      <c r="G43" s="6">
        <f>E43+F43</f>
        <v/>
      </c>
      <c r="H43" s="10" t="n">
        <v>7</v>
      </c>
      <c r="I43" s="7">
        <f>H43/(180*0.714)</f>
        <v/>
      </c>
    </row>
    <row r="44">
      <c r="A44" s="4" t="inlineStr">
        <is>
          <t>SERV-10040</t>
        </is>
      </c>
      <c r="B44" s="5" t="inlineStr">
        <is>
          <t>Professor da Educação Básica (40h)</t>
        </is>
      </c>
      <c r="C44" s="4" t="inlineStr">
        <is>
          <t>Efetivo Concursado</t>
        </is>
      </c>
      <c r="D44" s="4" t="inlineStr">
        <is>
          <t>SEC-EDU</t>
        </is>
      </c>
      <c r="E44" s="6" t="n">
        <v>5610.47</v>
      </c>
      <c r="F44" s="6">
        <f>E44*0.22</f>
        <v/>
      </c>
      <c r="G44" s="6">
        <f>E44+F44</f>
        <v/>
      </c>
      <c r="H44" s="10" t="n">
        <v>7</v>
      </c>
      <c r="I44" s="7">
        <f>H44/(180*0.714)</f>
        <v/>
      </c>
    </row>
    <row r="45">
      <c r="A45" s="4" t="inlineStr">
        <is>
          <t>SERV-10041</t>
        </is>
      </c>
      <c r="B45" s="5" t="inlineStr">
        <is>
          <t>Professor da Educação Básica (40h)</t>
        </is>
      </c>
      <c r="C45" s="4" t="inlineStr">
        <is>
          <t>Efetivo Concursado</t>
        </is>
      </c>
      <c r="D45" s="4" t="inlineStr">
        <is>
          <t>SEC-EDU</t>
        </is>
      </c>
      <c r="E45" s="6" t="n">
        <v>5446.72</v>
      </c>
      <c r="F45" s="6">
        <f>E45*0.22</f>
        <v/>
      </c>
      <c r="G45" s="6">
        <f>E45+F45</f>
        <v/>
      </c>
      <c r="H45" s="10" t="n">
        <v>2</v>
      </c>
      <c r="I45" s="7">
        <f>H45/(180*0.714)</f>
        <v/>
      </c>
    </row>
    <row r="46">
      <c r="A46" s="4" t="inlineStr">
        <is>
          <t>SERV-10042</t>
        </is>
      </c>
      <c r="B46" s="5" t="inlineStr">
        <is>
          <t>Professor da Educação Básica (40h)</t>
        </is>
      </c>
      <c r="C46" s="4" t="inlineStr">
        <is>
          <t>Efetivo Concursado</t>
        </is>
      </c>
      <c r="D46" s="4" t="inlineStr">
        <is>
          <t>SEC-EDU</t>
        </is>
      </c>
      <c r="E46" s="6" t="n">
        <v>5045.99</v>
      </c>
      <c r="F46" s="6">
        <f>E46*0.22</f>
        <v/>
      </c>
      <c r="G46" s="6">
        <f>E46+F46</f>
        <v/>
      </c>
      <c r="H46" s="10" t="n">
        <v>6</v>
      </c>
      <c r="I46" s="7">
        <f>H46/(180*0.714)</f>
        <v/>
      </c>
    </row>
    <row r="47">
      <c r="A47" s="4" t="inlineStr">
        <is>
          <t>SERV-10043</t>
        </is>
      </c>
      <c r="B47" s="5" t="inlineStr">
        <is>
          <t>Professor da Educação Básica (40h)</t>
        </is>
      </c>
      <c r="C47" s="4" t="inlineStr">
        <is>
          <t>Efetivo Concursado</t>
        </is>
      </c>
      <c r="D47" s="4" t="inlineStr">
        <is>
          <t>SEC-EDU</t>
        </is>
      </c>
      <c r="E47" s="6" t="n">
        <v>5138.92</v>
      </c>
      <c r="F47" s="6">
        <f>E47*0.22</f>
        <v/>
      </c>
      <c r="G47" s="6">
        <f>E47+F47</f>
        <v/>
      </c>
      <c r="H47" s="10" t="n">
        <v>6</v>
      </c>
      <c r="I47" s="7">
        <f>H47/(180*0.714)</f>
        <v/>
      </c>
    </row>
    <row r="48">
      <c r="A48" s="4" t="inlineStr">
        <is>
          <t>SERV-10044</t>
        </is>
      </c>
      <c r="B48" s="5" t="inlineStr">
        <is>
          <t>Professor da Educação Básica (40h)</t>
        </is>
      </c>
      <c r="C48" s="4" t="inlineStr">
        <is>
          <t>Efetivo Concursado</t>
        </is>
      </c>
      <c r="D48" s="4" t="inlineStr">
        <is>
          <t>SEC-EDU</t>
        </is>
      </c>
      <c r="E48" s="6" t="n">
        <v>5167.61</v>
      </c>
      <c r="F48" s="6">
        <f>E48*0.22</f>
        <v/>
      </c>
      <c r="G48" s="6">
        <f>E48+F48</f>
        <v/>
      </c>
      <c r="H48" s="10" t="n">
        <v>6</v>
      </c>
      <c r="I48" s="7">
        <f>H48/(180*0.714)</f>
        <v/>
      </c>
    </row>
    <row r="49">
      <c r="A49" s="4" t="inlineStr">
        <is>
          <t>SERV-10045</t>
        </is>
      </c>
      <c r="B49" s="5" t="inlineStr">
        <is>
          <t>Professor da Educação Básica (40h)</t>
        </is>
      </c>
      <c r="C49" s="4" t="inlineStr">
        <is>
          <t>Efetivo Concursado</t>
        </is>
      </c>
      <c r="D49" s="4" t="inlineStr">
        <is>
          <t>SEC-EDU</t>
        </is>
      </c>
      <c r="E49" s="6" t="n">
        <v>5731.73</v>
      </c>
      <c r="F49" s="6">
        <f>E49*0.22</f>
        <v/>
      </c>
      <c r="G49" s="6">
        <f>E49+F49</f>
        <v/>
      </c>
      <c r="H49" s="10" t="n">
        <v>2</v>
      </c>
      <c r="I49" s="7">
        <f>H49/(180*0.714)</f>
        <v/>
      </c>
    </row>
    <row r="50">
      <c r="A50" s="4" t="inlineStr">
        <is>
          <t>SERV-10046</t>
        </is>
      </c>
      <c r="B50" s="5" t="inlineStr">
        <is>
          <t>Professor da Educação Básica (40h)</t>
        </is>
      </c>
      <c r="C50" s="4" t="inlineStr">
        <is>
          <t>Efetivo Concursado</t>
        </is>
      </c>
      <c r="D50" s="4" t="inlineStr">
        <is>
          <t>SEC-EDU</t>
        </is>
      </c>
      <c r="E50" s="6" t="n">
        <v>5463.56</v>
      </c>
      <c r="F50" s="6">
        <f>E50*0.22</f>
        <v/>
      </c>
      <c r="G50" s="6">
        <f>E50+F50</f>
        <v/>
      </c>
      <c r="H50" s="10" t="n">
        <v>5</v>
      </c>
      <c r="I50" s="7">
        <f>H50/(180*0.714)</f>
        <v/>
      </c>
    </row>
    <row r="51">
      <c r="A51" s="4" t="inlineStr">
        <is>
          <t>SERV-10047</t>
        </is>
      </c>
      <c r="B51" s="5" t="inlineStr">
        <is>
          <t>Professor da Educação Básica (40h)</t>
        </is>
      </c>
      <c r="C51" s="4" t="inlineStr">
        <is>
          <t>Efetivo Concursado</t>
        </is>
      </c>
      <c r="D51" s="4" t="inlineStr">
        <is>
          <t>SEC-EDU</t>
        </is>
      </c>
      <c r="E51" s="6" t="n">
        <v>5525.24</v>
      </c>
      <c r="F51" s="6">
        <f>E51*0.22</f>
        <v/>
      </c>
      <c r="G51" s="6">
        <f>E51+F51</f>
        <v/>
      </c>
      <c r="H51" s="10" t="n">
        <v>6</v>
      </c>
      <c r="I51" s="7">
        <f>H51/(180*0.714)</f>
        <v/>
      </c>
    </row>
    <row r="52">
      <c r="A52" s="4" t="inlineStr">
        <is>
          <t>SERV-10048</t>
        </is>
      </c>
      <c r="B52" s="5" t="inlineStr">
        <is>
          <t>Professor da Educação Básica (40h)</t>
        </is>
      </c>
      <c r="C52" s="4" t="inlineStr">
        <is>
          <t>Efetivo Concursado</t>
        </is>
      </c>
      <c r="D52" s="4" t="inlineStr">
        <is>
          <t>SEC-EDU</t>
        </is>
      </c>
      <c r="E52" s="6" t="n">
        <v>5565.48</v>
      </c>
      <c r="F52" s="6">
        <f>E52*0.22</f>
        <v/>
      </c>
      <c r="G52" s="6">
        <f>E52+F52</f>
        <v/>
      </c>
      <c r="H52" s="10" t="n">
        <v>3</v>
      </c>
      <c r="I52" s="7">
        <f>H52/(180*0.714)</f>
        <v/>
      </c>
    </row>
    <row r="53">
      <c r="A53" s="4" t="inlineStr">
        <is>
          <t>SERV-10049</t>
        </is>
      </c>
      <c r="B53" s="5" t="inlineStr">
        <is>
          <t>Professor da Educação Básica (40h)</t>
        </is>
      </c>
      <c r="C53" s="4" t="inlineStr">
        <is>
          <t>Efetivo Concursado</t>
        </is>
      </c>
      <c r="D53" s="4" t="inlineStr">
        <is>
          <t>SEC-EDU</t>
        </is>
      </c>
      <c r="E53" s="6" t="n">
        <v>5570.08</v>
      </c>
      <c r="F53" s="6">
        <f>E53*0.22</f>
        <v/>
      </c>
      <c r="G53" s="6">
        <f>E53+F53</f>
        <v/>
      </c>
      <c r="H53" s="10" t="n">
        <v>4</v>
      </c>
      <c r="I53" s="7">
        <f>H53/(180*0.714)</f>
        <v/>
      </c>
    </row>
    <row r="54">
      <c r="A54" s="4" t="inlineStr">
        <is>
          <t>SERV-10050</t>
        </is>
      </c>
      <c r="B54" s="5" t="inlineStr">
        <is>
          <t>Professor da Educação Básica (40h)</t>
        </is>
      </c>
      <c r="C54" s="4" t="inlineStr">
        <is>
          <t>Efetivo Concursado</t>
        </is>
      </c>
      <c r="D54" s="4" t="inlineStr">
        <is>
          <t>SEC-EDU</t>
        </is>
      </c>
      <c r="E54" s="6" t="n">
        <v>5553.79</v>
      </c>
      <c r="F54" s="6">
        <f>E54*0.22</f>
        <v/>
      </c>
      <c r="G54" s="6">
        <f>E54+F54</f>
        <v/>
      </c>
      <c r="H54" s="10" t="n">
        <v>6</v>
      </c>
      <c r="I54" s="7">
        <f>H54/(180*0.714)</f>
        <v/>
      </c>
    </row>
    <row r="55">
      <c r="A55" s="4" t="inlineStr">
        <is>
          <t>SERV-10051</t>
        </is>
      </c>
      <c r="B55" s="5" t="inlineStr">
        <is>
          <t>Professor da Educação Básica (40h)</t>
        </is>
      </c>
      <c r="C55" s="4" t="inlineStr">
        <is>
          <t>Efetivo Concursado</t>
        </is>
      </c>
      <c r="D55" s="4" t="inlineStr">
        <is>
          <t>SEC-EDU</t>
        </is>
      </c>
      <c r="E55" s="6" t="n">
        <v>4978.85</v>
      </c>
      <c r="F55" s="6">
        <f>E55*0.22</f>
        <v/>
      </c>
      <c r="G55" s="6">
        <f>E55+F55</f>
        <v/>
      </c>
      <c r="H55" s="10" t="n">
        <v>5</v>
      </c>
      <c r="I55" s="7">
        <f>H55/(180*0.714)</f>
        <v/>
      </c>
    </row>
    <row r="56">
      <c r="A56" s="4" t="inlineStr">
        <is>
          <t>SERV-10052</t>
        </is>
      </c>
      <c r="B56" s="5" t="inlineStr">
        <is>
          <t>Professor da Educação Básica (40h)</t>
        </is>
      </c>
      <c r="C56" s="4" t="inlineStr">
        <is>
          <t>Efetivo Concursado</t>
        </is>
      </c>
      <c r="D56" s="4" t="inlineStr">
        <is>
          <t>SEC-EDU</t>
        </is>
      </c>
      <c r="E56" s="6" t="n">
        <v>4958.73</v>
      </c>
      <c r="F56" s="6">
        <f>E56*0.22</f>
        <v/>
      </c>
      <c r="G56" s="6">
        <f>E56+F56</f>
        <v/>
      </c>
      <c r="H56" s="10" t="n">
        <v>3</v>
      </c>
      <c r="I56" s="7">
        <f>H56/(180*0.714)</f>
        <v/>
      </c>
    </row>
    <row r="57">
      <c r="A57" s="4" t="inlineStr">
        <is>
          <t>SERV-10053</t>
        </is>
      </c>
      <c r="B57" s="5" t="inlineStr">
        <is>
          <t>Professor da Educação Básica (40h)</t>
        </is>
      </c>
      <c r="C57" s="4" t="inlineStr">
        <is>
          <t>Efetivo Concursado</t>
        </is>
      </c>
      <c r="D57" s="4" t="inlineStr">
        <is>
          <t>SEC-EDU</t>
        </is>
      </c>
      <c r="E57" s="6" t="n">
        <v>5022.01</v>
      </c>
      <c r="F57" s="6">
        <f>E57*0.22</f>
        <v/>
      </c>
      <c r="G57" s="6">
        <f>E57+F57</f>
        <v/>
      </c>
      <c r="H57" s="10" t="n">
        <v>2</v>
      </c>
      <c r="I57" s="7">
        <f>H57/(180*0.714)</f>
        <v/>
      </c>
    </row>
    <row r="58">
      <c r="A58" s="4" t="inlineStr">
        <is>
          <t>SERV-10054</t>
        </is>
      </c>
      <c r="B58" s="5" t="inlineStr">
        <is>
          <t>Professor da Educação Básica (40h)</t>
        </is>
      </c>
      <c r="C58" s="4" t="inlineStr">
        <is>
          <t>Efetivo Concursado</t>
        </is>
      </c>
      <c r="D58" s="4" t="inlineStr">
        <is>
          <t>SEC-EDU</t>
        </is>
      </c>
      <c r="E58" s="6" t="n">
        <v>5814.09</v>
      </c>
      <c r="F58" s="6">
        <f>E58*0.22</f>
        <v/>
      </c>
      <c r="G58" s="6">
        <f>E58+F58</f>
        <v/>
      </c>
      <c r="H58" s="10" t="n">
        <v>4</v>
      </c>
      <c r="I58" s="7">
        <f>H58/(180*0.714)</f>
        <v/>
      </c>
    </row>
    <row r="59">
      <c r="A59" s="4" t="inlineStr">
        <is>
          <t>SERV-10055</t>
        </is>
      </c>
      <c r="B59" s="5" t="inlineStr">
        <is>
          <t>Professor da Educação Básica (40h)</t>
        </is>
      </c>
      <c r="C59" s="4" t="inlineStr">
        <is>
          <t>Efetivo Concursado</t>
        </is>
      </c>
      <c r="D59" s="4" t="inlineStr">
        <is>
          <t>SEC-EDU</t>
        </is>
      </c>
      <c r="E59" s="6" t="n">
        <v>5405.43</v>
      </c>
      <c r="F59" s="6">
        <f>E59*0.22</f>
        <v/>
      </c>
      <c r="G59" s="6">
        <f>E59+F59</f>
        <v/>
      </c>
      <c r="H59" s="10" t="n">
        <v>7</v>
      </c>
      <c r="I59" s="7">
        <f>H59/(180*0.714)</f>
        <v/>
      </c>
    </row>
    <row r="60">
      <c r="A60" s="4" t="inlineStr">
        <is>
          <t>SERV-10056</t>
        </is>
      </c>
      <c r="B60" s="5" t="inlineStr">
        <is>
          <t>Professor da Educação Básica (40h)</t>
        </is>
      </c>
      <c r="C60" s="4" t="inlineStr">
        <is>
          <t>Efetivo Concursado</t>
        </is>
      </c>
      <c r="D60" s="4" t="inlineStr">
        <is>
          <t>SEC-EDU</t>
        </is>
      </c>
      <c r="E60" s="6" t="n">
        <v>5300.51</v>
      </c>
      <c r="F60" s="6">
        <f>E60*0.22</f>
        <v/>
      </c>
      <c r="G60" s="6">
        <f>E60+F60</f>
        <v/>
      </c>
      <c r="H60" s="10" t="n">
        <v>7</v>
      </c>
      <c r="I60" s="7">
        <f>H60/(180*0.714)</f>
        <v/>
      </c>
    </row>
    <row r="61">
      <c r="A61" s="4" t="inlineStr">
        <is>
          <t>SERV-10057</t>
        </is>
      </c>
      <c r="B61" s="5" t="inlineStr">
        <is>
          <t>Professor da Educação Básica (40h)</t>
        </is>
      </c>
      <c r="C61" s="4" t="inlineStr">
        <is>
          <t>Efetivo Concursado</t>
        </is>
      </c>
      <c r="D61" s="4" t="inlineStr">
        <is>
          <t>SEC-EDU</t>
        </is>
      </c>
      <c r="E61" s="6" t="n">
        <v>4844.77</v>
      </c>
      <c r="F61" s="6">
        <f>E61*0.22</f>
        <v/>
      </c>
      <c r="G61" s="6">
        <f>E61+F61</f>
        <v/>
      </c>
      <c r="H61" s="10" t="n">
        <v>5</v>
      </c>
      <c r="I61" s="7">
        <f>H61/(180*0.714)</f>
        <v/>
      </c>
    </row>
    <row r="62">
      <c r="A62" s="4" t="inlineStr">
        <is>
          <t>SERV-10058</t>
        </is>
      </c>
      <c r="B62" s="5" t="inlineStr">
        <is>
          <t>Professor da Educação Básica (40h)</t>
        </is>
      </c>
      <c r="C62" s="4" t="inlineStr">
        <is>
          <t>Efetivo Concursado</t>
        </is>
      </c>
      <c r="D62" s="4" t="inlineStr">
        <is>
          <t>SEC-EDU</t>
        </is>
      </c>
      <c r="E62" s="6" t="n">
        <v>5411.17</v>
      </c>
      <c r="F62" s="6">
        <f>E62*0.22</f>
        <v/>
      </c>
      <c r="G62" s="6">
        <f>E62+F62</f>
        <v/>
      </c>
      <c r="H62" s="10" t="n">
        <v>3</v>
      </c>
      <c r="I62" s="7">
        <f>H62/(180*0.714)</f>
        <v/>
      </c>
    </row>
    <row r="63">
      <c r="A63" s="4" t="inlineStr">
        <is>
          <t>SERV-10059</t>
        </is>
      </c>
      <c r="B63" s="5" t="inlineStr">
        <is>
          <t>Professor da Educação Básica (40h)</t>
        </is>
      </c>
      <c r="C63" s="4" t="inlineStr">
        <is>
          <t>Efetivo Concursado</t>
        </is>
      </c>
      <c r="D63" s="4" t="inlineStr">
        <is>
          <t>SEC-EDU</t>
        </is>
      </c>
      <c r="E63" s="6" t="n">
        <v>5746.21</v>
      </c>
      <c r="F63" s="6">
        <f>E63*0.22</f>
        <v/>
      </c>
      <c r="G63" s="6">
        <f>E63+F63</f>
        <v/>
      </c>
      <c r="H63" s="10" t="n">
        <v>2</v>
      </c>
      <c r="I63" s="7">
        <f>H63/(180*0.714)</f>
        <v/>
      </c>
    </row>
    <row r="64">
      <c r="A64" s="4" t="inlineStr">
        <is>
          <t>SERV-10060</t>
        </is>
      </c>
      <c r="B64" s="5" t="inlineStr">
        <is>
          <t>Professor da Educação Básica (40h)</t>
        </is>
      </c>
      <c r="C64" s="4" t="inlineStr">
        <is>
          <t>Efetivo Concursado</t>
        </is>
      </c>
      <c r="D64" s="4" t="inlineStr">
        <is>
          <t>SEC-EDU</t>
        </is>
      </c>
      <c r="E64" s="6" t="n">
        <v>5418.08</v>
      </c>
      <c r="F64" s="6">
        <f>E64*0.22</f>
        <v/>
      </c>
      <c r="G64" s="6">
        <f>E64+F64</f>
        <v/>
      </c>
      <c r="H64" s="10" t="n">
        <v>3</v>
      </c>
      <c r="I64" s="7">
        <f>H64/(180*0.714)</f>
        <v/>
      </c>
    </row>
    <row r="65">
      <c r="A65" s="4" t="inlineStr">
        <is>
          <t>SERV-10061</t>
        </is>
      </c>
      <c r="B65" s="5" t="inlineStr">
        <is>
          <t>Professor da Educação Básica (40h)</t>
        </is>
      </c>
      <c r="C65" s="4" t="inlineStr">
        <is>
          <t>Efetivo Concursado</t>
        </is>
      </c>
      <c r="D65" s="4" t="inlineStr">
        <is>
          <t>SEC-EDU</t>
        </is>
      </c>
      <c r="E65" s="6" t="n">
        <v>4994.7</v>
      </c>
      <c r="F65" s="6">
        <f>E65*0.22</f>
        <v/>
      </c>
      <c r="G65" s="6">
        <f>E65+F65</f>
        <v/>
      </c>
      <c r="H65" s="10" t="n">
        <v>3</v>
      </c>
      <c r="I65" s="7">
        <f>H65/(180*0.714)</f>
        <v/>
      </c>
    </row>
    <row r="66">
      <c r="A66" s="4" t="inlineStr">
        <is>
          <t>SERV-10062</t>
        </is>
      </c>
      <c r="B66" s="5" t="inlineStr">
        <is>
          <t>Professor da Educação Básica (40h)</t>
        </is>
      </c>
      <c r="C66" s="4" t="inlineStr">
        <is>
          <t>Efetivo Concursado</t>
        </is>
      </c>
      <c r="D66" s="4" t="inlineStr">
        <is>
          <t>SEC-EDU</t>
        </is>
      </c>
      <c r="E66" s="6" t="n">
        <v>4824.11</v>
      </c>
      <c r="F66" s="6">
        <f>E66*0.22</f>
        <v/>
      </c>
      <c r="G66" s="6">
        <f>E66+F66</f>
        <v/>
      </c>
      <c r="H66" s="10" t="n">
        <v>6</v>
      </c>
      <c r="I66" s="7">
        <f>H66/(180*0.714)</f>
        <v/>
      </c>
    </row>
    <row r="67">
      <c r="A67" s="4" t="inlineStr">
        <is>
          <t>SERV-10063</t>
        </is>
      </c>
      <c r="B67" s="5" t="inlineStr">
        <is>
          <t>Professor da Educação Básica (40h)</t>
        </is>
      </c>
      <c r="C67" s="4" t="inlineStr">
        <is>
          <t>Efetivo Concursado</t>
        </is>
      </c>
      <c r="D67" s="4" t="inlineStr">
        <is>
          <t>SEC-EDU</t>
        </is>
      </c>
      <c r="E67" s="6" t="n">
        <v>5753.56</v>
      </c>
      <c r="F67" s="6">
        <f>E67*0.22</f>
        <v/>
      </c>
      <c r="G67" s="6">
        <f>E67+F67</f>
        <v/>
      </c>
      <c r="H67" s="10" t="n">
        <v>5</v>
      </c>
      <c r="I67" s="7">
        <f>H67/(180*0.714)</f>
        <v/>
      </c>
    </row>
    <row r="68">
      <c r="A68" s="4" t="inlineStr">
        <is>
          <t>SERV-10064</t>
        </is>
      </c>
      <c r="B68" s="5" t="inlineStr">
        <is>
          <t>Professor da Educação Básica (40h)</t>
        </is>
      </c>
      <c r="C68" s="4" t="inlineStr">
        <is>
          <t>Efetivo Concursado</t>
        </is>
      </c>
      <c r="D68" s="4" t="inlineStr">
        <is>
          <t>SEC-EDU</t>
        </is>
      </c>
      <c r="E68" s="6" t="n">
        <v>4898.26</v>
      </c>
      <c r="F68" s="6">
        <f>E68*0.22</f>
        <v/>
      </c>
      <c r="G68" s="6">
        <f>E68+F68</f>
        <v/>
      </c>
      <c r="H68" s="10" t="n">
        <v>6</v>
      </c>
      <c r="I68" s="7">
        <f>H68/(180*0.714)</f>
        <v/>
      </c>
    </row>
    <row r="69">
      <c r="A69" s="4" t="inlineStr">
        <is>
          <t>SERV-10065</t>
        </is>
      </c>
      <c r="B69" s="5" t="inlineStr">
        <is>
          <t>Professor da Educação Básica (40h)</t>
        </is>
      </c>
      <c r="C69" s="4" t="inlineStr">
        <is>
          <t>Efetivo Concursado</t>
        </is>
      </c>
      <c r="D69" s="4" t="inlineStr">
        <is>
          <t>SEC-EDU</t>
        </is>
      </c>
      <c r="E69" s="6" t="n">
        <v>5451.72</v>
      </c>
      <c r="F69" s="6">
        <f>E69*0.22</f>
        <v/>
      </c>
      <c r="G69" s="6">
        <f>E69+F69</f>
        <v/>
      </c>
      <c r="H69" s="10" t="n">
        <v>4</v>
      </c>
      <c r="I69" s="7">
        <f>H69/(180*0.714)</f>
        <v/>
      </c>
    </row>
    <row r="70">
      <c r="A70" s="4" t="inlineStr">
        <is>
          <t>SERV-10066</t>
        </is>
      </c>
      <c r="B70" s="5" t="inlineStr">
        <is>
          <t>Professor da Educação Básica (40h)</t>
        </is>
      </c>
      <c r="C70" s="4" t="inlineStr">
        <is>
          <t>Efetivo Concursado</t>
        </is>
      </c>
      <c r="D70" s="4" t="inlineStr">
        <is>
          <t>SEC-EDU</t>
        </is>
      </c>
      <c r="E70" s="6" t="n">
        <v>5699.31</v>
      </c>
      <c r="F70" s="6">
        <f>E70*0.22</f>
        <v/>
      </c>
      <c r="G70" s="6">
        <f>E70+F70</f>
        <v/>
      </c>
      <c r="H70" s="10" t="n">
        <v>3</v>
      </c>
      <c r="I70" s="7">
        <f>H70/(180*0.714)</f>
        <v/>
      </c>
    </row>
    <row r="71">
      <c r="A71" s="4" t="inlineStr">
        <is>
          <t>SERV-10067</t>
        </is>
      </c>
      <c r="B71" s="5" t="inlineStr">
        <is>
          <t>Professor da Educação Básica (40h)</t>
        </is>
      </c>
      <c r="C71" s="4" t="inlineStr">
        <is>
          <t>Efetivo Concursado</t>
        </is>
      </c>
      <c r="D71" s="4" t="inlineStr">
        <is>
          <t>SEC-EDU</t>
        </is>
      </c>
      <c r="E71" s="6" t="n">
        <v>5219.81</v>
      </c>
      <c r="F71" s="6">
        <f>E71*0.22</f>
        <v/>
      </c>
      <c r="G71" s="6">
        <f>E71+F71</f>
        <v/>
      </c>
      <c r="H71" s="10" t="n">
        <v>2</v>
      </c>
      <c r="I71" s="7">
        <f>H71/(180*0.714)</f>
        <v/>
      </c>
    </row>
    <row r="72">
      <c r="A72" s="4" t="inlineStr">
        <is>
          <t>SERV-10068</t>
        </is>
      </c>
      <c r="B72" s="5" t="inlineStr">
        <is>
          <t>Professor da Educação Básica (40h)</t>
        </is>
      </c>
      <c r="C72" s="4" t="inlineStr">
        <is>
          <t>Efetivo Concursado</t>
        </is>
      </c>
      <c r="D72" s="4" t="inlineStr">
        <is>
          <t>SEC-EDU</t>
        </is>
      </c>
      <c r="E72" s="6" t="n">
        <v>5738.95</v>
      </c>
      <c r="F72" s="6">
        <f>E72*0.22</f>
        <v/>
      </c>
      <c r="G72" s="6">
        <f>E72+F72</f>
        <v/>
      </c>
      <c r="H72" s="10" t="n">
        <v>6</v>
      </c>
      <c r="I72" s="7">
        <f>H72/(180*0.714)</f>
        <v/>
      </c>
    </row>
    <row r="73">
      <c r="A73" s="4" t="inlineStr">
        <is>
          <t>SERV-10069</t>
        </is>
      </c>
      <c r="B73" s="5" t="inlineStr">
        <is>
          <t>Professor da Educação Básica (40h)</t>
        </is>
      </c>
      <c r="C73" s="4" t="inlineStr">
        <is>
          <t>Efetivo Concursado</t>
        </is>
      </c>
      <c r="D73" s="4" t="inlineStr">
        <is>
          <t>SEC-EDU</t>
        </is>
      </c>
      <c r="E73" s="6" t="n">
        <v>5718.99</v>
      </c>
      <c r="F73" s="6">
        <f>E73*0.22</f>
        <v/>
      </c>
      <c r="G73" s="6">
        <f>E73+F73</f>
        <v/>
      </c>
      <c r="H73" s="10" t="n">
        <v>5</v>
      </c>
      <c r="I73" s="7">
        <f>H73/(180*0.714)</f>
        <v/>
      </c>
    </row>
    <row r="74">
      <c r="A74" s="4" t="inlineStr">
        <is>
          <t>SERV-10070</t>
        </is>
      </c>
      <c r="B74" s="5" t="inlineStr">
        <is>
          <t>Professor da Educação Básica (40h)</t>
        </is>
      </c>
      <c r="C74" s="4" t="inlineStr">
        <is>
          <t>Efetivo Concursado</t>
        </is>
      </c>
      <c r="D74" s="4" t="inlineStr">
        <is>
          <t>SEC-EDU</t>
        </is>
      </c>
      <c r="E74" s="6" t="n">
        <v>5517.5</v>
      </c>
      <c r="F74" s="6">
        <f>E74*0.22</f>
        <v/>
      </c>
      <c r="G74" s="6">
        <f>E74+F74</f>
        <v/>
      </c>
      <c r="H74" s="10" t="n">
        <v>3</v>
      </c>
      <c r="I74" s="7">
        <f>H74/(180*0.714)</f>
        <v/>
      </c>
    </row>
    <row r="75">
      <c r="A75" s="4" t="inlineStr">
        <is>
          <t>SERV-10071</t>
        </is>
      </c>
      <c r="B75" s="5" t="inlineStr">
        <is>
          <t>Professor da Educação Básica (40h)</t>
        </is>
      </c>
      <c r="C75" s="4" t="inlineStr">
        <is>
          <t>Efetivo Concursado</t>
        </is>
      </c>
      <c r="D75" s="4" t="inlineStr">
        <is>
          <t>SEC-EDU</t>
        </is>
      </c>
      <c r="E75" s="6" t="n">
        <v>4832.28</v>
      </c>
      <c r="F75" s="6">
        <f>E75*0.22</f>
        <v/>
      </c>
      <c r="G75" s="6">
        <f>E75+F75</f>
        <v/>
      </c>
      <c r="H75" s="10" t="n">
        <v>2</v>
      </c>
      <c r="I75" s="7">
        <f>H75/(180*0.714)</f>
        <v/>
      </c>
    </row>
    <row r="76">
      <c r="A76" s="4" t="inlineStr">
        <is>
          <t>SERV-10072</t>
        </is>
      </c>
      <c r="B76" s="5" t="inlineStr">
        <is>
          <t>Professor da Educação Básica (40h)</t>
        </is>
      </c>
      <c r="C76" s="4" t="inlineStr">
        <is>
          <t>Efetivo Concursado</t>
        </is>
      </c>
      <c r="D76" s="4" t="inlineStr">
        <is>
          <t>SEC-EDU</t>
        </is>
      </c>
      <c r="E76" s="6" t="n">
        <v>5199.1</v>
      </c>
      <c r="F76" s="6">
        <f>E76*0.22</f>
        <v/>
      </c>
      <c r="G76" s="6">
        <f>E76+F76</f>
        <v/>
      </c>
      <c r="H76" s="10" t="n">
        <v>7</v>
      </c>
      <c r="I76" s="7">
        <f>H76/(180*0.714)</f>
        <v/>
      </c>
    </row>
    <row r="77">
      <c r="A77" s="4" t="inlineStr">
        <is>
          <t>SERV-10073</t>
        </is>
      </c>
      <c r="B77" s="5" t="inlineStr">
        <is>
          <t>Professor da Educação Básica (40h)</t>
        </is>
      </c>
      <c r="C77" s="4" t="inlineStr">
        <is>
          <t>Efetivo Concursado</t>
        </is>
      </c>
      <c r="D77" s="4" t="inlineStr">
        <is>
          <t>SEC-EDU</t>
        </is>
      </c>
      <c r="E77" s="6" t="n">
        <v>5082.13</v>
      </c>
      <c r="F77" s="6">
        <f>E77*0.22</f>
        <v/>
      </c>
      <c r="G77" s="6">
        <f>E77+F77</f>
        <v/>
      </c>
      <c r="H77" s="10" t="n">
        <v>6</v>
      </c>
      <c r="I77" s="7">
        <f>H77/(180*0.714)</f>
        <v/>
      </c>
    </row>
    <row r="78">
      <c r="A78" s="4" t="inlineStr">
        <is>
          <t>SERV-10074</t>
        </is>
      </c>
      <c r="B78" s="5" t="inlineStr">
        <is>
          <t>Professor da Educação Básica (40h)</t>
        </is>
      </c>
      <c r="C78" s="4" t="inlineStr">
        <is>
          <t>Efetivo Concursado</t>
        </is>
      </c>
      <c r="D78" s="4" t="inlineStr">
        <is>
          <t>SEC-EDU</t>
        </is>
      </c>
      <c r="E78" s="6" t="n">
        <v>5508.77</v>
      </c>
      <c r="F78" s="6">
        <f>E78*0.22</f>
        <v/>
      </c>
      <c r="G78" s="6">
        <f>E78+F78</f>
        <v/>
      </c>
      <c r="H78" s="10" t="n">
        <v>4</v>
      </c>
      <c r="I78" s="7">
        <f>H78/(180*0.714)</f>
        <v/>
      </c>
    </row>
    <row r="79">
      <c r="A79" s="4" t="inlineStr">
        <is>
          <t>SERV-10075</t>
        </is>
      </c>
      <c r="B79" s="5" t="inlineStr">
        <is>
          <t>Professor da Educação Básica (40h)</t>
        </is>
      </c>
      <c r="C79" s="4" t="inlineStr">
        <is>
          <t>Efetivo Concursado</t>
        </is>
      </c>
      <c r="D79" s="4" t="inlineStr">
        <is>
          <t>SEC-EDU</t>
        </is>
      </c>
      <c r="E79" s="6" t="n">
        <v>5271.62</v>
      </c>
      <c r="F79" s="6">
        <f>E79*0.22</f>
        <v/>
      </c>
      <c r="G79" s="6">
        <f>E79+F79</f>
        <v/>
      </c>
      <c r="H79" s="10" t="n">
        <v>6</v>
      </c>
      <c r="I79" s="7">
        <f>H79/(180*0.714)</f>
        <v/>
      </c>
    </row>
    <row r="80">
      <c r="A80" s="4" t="inlineStr">
        <is>
          <t>SERV-10076</t>
        </is>
      </c>
      <c r="B80" s="5" t="inlineStr">
        <is>
          <t>Professor da Educação Básica (40h)</t>
        </is>
      </c>
      <c r="C80" s="4" t="inlineStr">
        <is>
          <t>Efetivo Concursado</t>
        </is>
      </c>
      <c r="D80" s="4" t="inlineStr">
        <is>
          <t>SEC-EDU</t>
        </is>
      </c>
      <c r="E80" s="6" t="n">
        <v>5755.47</v>
      </c>
      <c r="F80" s="6">
        <f>E80*0.22</f>
        <v/>
      </c>
      <c r="G80" s="6">
        <f>E80+F80</f>
        <v/>
      </c>
      <c r="H80" s="10" t="n">
        <v>5</v>
      </c>
      <c r="I80" s="7">
        <f>H80/(180*0.714)</f>
        <v/>
      </c>
    </row>
    <row r="81">
      <c r="A81" s="4" t="inlineStr">
        <is>
          <t>SERV-10077</t>
        </is>
      </c>
      <c r="B81" s="5" t="inlineStr">
        <is>
          <t>Professor da Educação Básica (40h)</t>
        </is>
      </c>
      <c r="C81" s="4" t="inlineStr">
        <is>
          <t>Efetivo Concursado</t>
        </is>
      </c>
      <c r="D81" s="4" t="inlineStr">
        <is>
          <t>SEC-EDU</t>
        </is>
      </c>
      <c r="E81" s="6" t="n">
        <v>5238.06</v>
      </c>
      <c r="F81" s="6">
        <f>E81*0.22</f>
        <v/>
      </c>
      <c r="G81" s="6">
        <f>E81+F81</f>
        <v/>
      </c>
      <c r="H81" s="10" t="n">
        <v>7</v>
      </c>
      <c r="I81" s="7">
        <f>H81/(180*0.714)</f>
        <v/>
      </c>
    </row>
    <row r="82">
      <c r="A82" s="4" t="inlineStr">
        <is>
          <t>SERV-10078</t>
        </is>
      </c>
      <c r="B82" s="5" t="inlineStr">
        <is>
          <t>Professor da Educação Básica (40h)</t>
        </is>
      </c>
      <c r="C82" s="4" t="inlineStr">
        <is>
          <t>Efetivo Concursado</t>
        </is>
      </c>
      <c r="D82" s="4" t="inlineStr">
        <is>
          <t>SEC-EDU</t>
        </is>
      </c>
      <c r="E82" s="6" t="n">
        <v>5136.7</v>
      </c>
      <c r="F82" s="6">
        <f>E82*0.22</f>
        <v/>
      </c>
      <c r="G82" s="6">
        <f>E82+F82</f>
        <v/>
      </c>
      <c r="H82" s="10" t="n">
        <v>4</v>
      </c>
      <c r="I82" s="7">
        <f>H82/(180*0.714)</f>
        <v/>
      </c>
    </row>
    <row r="83">
      <c r="A83" s="4" t="inlineStr">
        <is>
          <t>SERV-10079</t>
        </is>
      </c>
      <c r="B83" s="5" t="inlineStr">
        <is>
          <t>Professor da Educação Básica (40h)</t>
        </is>
      </c>
      <c r="C83" s="4" t="inlineStr">
        <is>
          <t>Efetivo Concursado</t>
        </is>
      </c>
      <c r="D83" s="4" t="inlineStr">
        <is>
          <t>SEC-EDU</t>
        </is>
      </c>
      <c r="E83" s="6" t="n">
        <v>5809.57</v>
      </c>
      <c r="F83" s="6">
        <f>E83*0.22</f>
        <v/>
      </c>
      <c r="G83" s="6">
        <f>E83+F83</f>
        <v/>
      </c>
      <c r="H83" s="10" t="n">
        <v>5</v>
      </c>
      <c r="I83" s="7">
        <f>H83/(180*0.714)</f>
        <v/>
      </c>
    </row>
    <row r="84">
      <c r="A84" s="4" t="inlineStr">
        <is>
          <t>SERV-10080</t>
        </is>
      </c>
      <c r="B84" s="5" t="inlineStr">
        <is>
          <t>Professor da Educação Básica (40h)</t>
        </is>
      </c>
      <c r="C84" s="4" t="inlineStr">
        <is>
          <t>Efetivo Concursado</t>
        </is>
      </c>
      <c r="D84" s="4" t="inlineStr">
        <is>
          <t>SEC-EDU</t>
        </is>
      </c>
      <c r="E84" s="6" t="n">
        <v>5101.75</v>
      </c>
      <c r="F84" s="6">
        <f>E84*0.22</f>
        <v/>
      </c>
      <c r="G84" s="6">
        <f>E84+F84</f>
        <v/>
      </c>
      <c r="H84" s="10" t="n">
        <v>7</v>
      </c>
      <c r="I84" s="7">
        <f>H84/(180*0.714)</f>
        <v/>
      </c>
    </row>
    <row r="85">
      <c r="A85" s="4" t="inlineStr">
        <is>
          <t>SERV-10081</t>
        </is>
      </c>
      <c r="B85" s="5" t="inlineStr">
        <is>
          <t>Professor da Educação Básica (40h)</t>
        </is>
      </c>
      <c r="C85" s="4" t="inlineStr">
        <is>
          <t>Efetivo Concursado</t>
        </is>
      </c>
      <c r="D85" s="4" t="inlineStr">
        <is>
          <t>SEC-EDU</t>
        </is>
      </c>
      <c r="E85" s="6" t="n">
        <v>5177.74</v>
      </c>
      <c r="F85" s="6">
        <f>E85*0.22</f>
        <v/>
      </c>
      <c r="G85" s="6">
        <f>E85+F85</f>
        <v/>
      </c>
      <c r="H85" s="10" t="n">
        <v>2</v>
      </c>
      <c r="I85" s="7">
        <f>H85/(180*0.714)</f>
        <v/>
      </c>
    </row>
    <row r="86">
      <c r="A86" s="4" t="inlineStr">
        <is>
          <t>SERV-10082</t>
        </is>
      </c>
      <c r="B86" s="5" t="inlineStr">
        <is>
          <t>Professor da Educação Básica (40h)</t>
        </is>
      </c>
      <c r="C86" s="4" t="inlineStr">
        <is>
          <t>Efetivo Concursado</t>
        </is>
      </c>
      <c r="D86" s="4" t="inlineStr">
        <is>
          <t>SEC-EDU</t>
        </is>
      </c>
      <c r="E86" s="6" t="n">
        <v>5773.23</v>
      </c>
      <c r="F86" s="6">
        <f>E86*0.22</f>
        <v/>
      </c>
      <c r="G86" s="6">
        <f>E86+F86</f>
        <v/>
      </c>
      <c r="H86" s="10" t="n">
        <v>7</v>
      </c>
      <c r="I86" s="7">
        <f>H86/(180*0.714)</f>
        <v/>
      </c>
    </row>
    <row r="87">
      <c r="A87" s="4" t="inlineStr">
        <is>
          <t>SERV-10083</t>
        </is>
      </c>
      <c r="B87" s="5" t="inlineStr">
        <is>
          <t>Professor da Educação Básica (40h)</t>
        </is>
      </c>
      <c r="C87" s="4" t="inlineStr">
        <is>
          <t>Efetivo Concursado</t>
        </is>
      </c>
      <c r="D87" s="4" t="inlineStr">
        <is>
          <t>SEC-EDU</t>
        </is>
      </c>
      <c r="E87" s="6" t="n">
        <v>5488.33</v>
      </c>
      <c r="F87" s="6">
        <f>E87*0.22</f>
        <v/>
      </c>
      <c r="G87" s="6">
        <f>E87+F87</f>
        <v/>
      </c>
      <c r="H87" s="10" t="n">
        <v>6</v>
      </c>
      <c r="I87" s="7">
        <f>H87/(180*0.714)</f>
        <v/>
      </c>
    </row>
    <row r="88">
      <c r="A88" s="4" t="inlineStr">
        <is>
          <t>SERV-10084</t>
        </is>
      </c>
      <c r="B88" s="5" t="inlineStr">
        <is>
          <t>Professor da Educação Básica (40h)</t>
        </is>
      </c>
      <c r="C88" s="4" t="inlineStr">
        <is>
          <t>Efetivo Concursado</t>
        </is>
      </c>
      <c r="D88" s="4" t="inlineStr">
        <is>
          <t>SEC-EDU</t>
        </is>
      </c>
      <c r="E88" s="6" t="n">
        <v>4973.37</v>
      </c>
      <c r="F88" s="6">
        <f>E88*0.22</f>
        <v/>
      </c>
      <c r="G88" s="6">
        <f>E88+F88</f>
        <v/>
      </c>
      <c r="H88" s="10" t="n">
        <v>6</v>
      </c>
      <c r="I88" s="7">
        <f>H88/(180*0.714)</f>
        <v/>
      </c>
    </row>
    <row r="89">
      <c r="A89" s="4" t="inlineStr">
        <is>
          <t>SERV-10085</t>
        </is>
      </c>
      <c r="B89" s="5" t="inlineStr">
        <is>
          <t>Professor da Educação Básica (40h)</t>
        </is>
      </c>
      <c r="C89" s="4" t="inlineStr">
        <is>
          <t>Efetivo Concursado</t>
        </is>
      </c>
      <c r="D89" s="4" t="inlineStr">
        <is>
          <t>SEC-EDU</t>
        </is>
      </c>
      <c r="E89" s="6" t="n">
        <v>5018.93</v>
      </c>
      <c r="F89" s="6">
        <f>E89*0.22</f>
        <v/>
      </c>
      <c r="G89" s="6">
        <f>E89+F89</f>
        <v/>
      </c>
      <c r="H89" s="10" t="n">
        <v>2</v>
      </c>
      <c r="I89" s="7">
        <f>H89/(180*0.714)</f>
        <v/>
      </c>
    </row>
    <row r="90">
      <c r="A90" s="4" t="inlineStr">
        <is>
          <t>SERV-10086</t>
        </is>
      </c>
      <c r="B90" s="5" t="inlineStr">
        <is>
          <t>Professor da Educação Básica (40h)</t>
        </is>
      </c>
      <c r="C90" s="4" t="inlineStr">
        <is>
          <t>Efetivo Concursado</t>
        </is>
      </c>
      <c r="D90" s="4" t="inlineStr">
        <is>
          <t>SEC-EDU</t>
        </is>
      </c>
      <c r="E90" s="6" t="n">
        <v>5092.07</v>
      </c>
      <c r="F90" s="6">
        <f>E90*0.22</f>
        <v/>
      </c>
      <c r="G90" s="6">
        <f>E90+F90</f>
        <v/>
      </c>
      <c r="H90" s="10" t="n">
        <v>2</v>
      </c>
      <c r="I90" s="7">
        <f>H90/(180*0.714)</f>
        <v/>
      </c>
    </row>
    <row r="91">
      <c r="A91" s="4" t="inlineStr">
        <is>
          <t>SERV-10087</t>
        </is>
      </c>
      <c r="B91" s="5" t="inlineStr">
        <is>
          <t>Professor da Educação Básica (40h)</t>
        </is>
      </c>
      <c r="C91" s="4" t="inlineStr">
        <is>
          <t>Efetivo Concursado</t>
        </is>
      </c>
      <c r="D91" s="4" t="inlineStr">
        <is>
          <t>SEC-EDU</t>
        </is>
      </c>
      <c r="E91" s="6" t="n">
        <v>5652.5</v>
      </c>
      <c r="F91" s="6">
        <f>E91*0.22</f>
        <v/>
      </c>
      <c r="G91" s="6">
        <f>E91+F91</f>
        <v/>
      </c>
      <c r="H91" s="10" t="n">
        <v>5</v>
      </c>
      <c r="I91" s="7">
        <f>H91/(180*0.714)</f>
        <v/>
      </c>
    </row>
    <row r="92">
      <c r="A92" s="4" t="inlineStr">
        <is>
          <t>SERV-10088</t>
        </is>
      </c>
      <c r="B92" s="5" t="inlineStr">
        <is>
          <t>Professor da Educação Básica (40h)</t>
        </is>
      </c>
      <c r="C92" s="4" t="inlineStr">
        <is>
          <t>Efetivo Concursado</t>
        </is>
      </c>
      <c r="D92" s="4" t="inlineStr">
        <is>
          <t>SEC-EDU</t>
        </is>
      </c>
      <c r="E92" s="6" t="n">
        <v>4962.55</v>
      </c>
      <c r="F92" s="6">
        <f>E92*0.22</f>
        <v/>
      </c>
      <c r="G92" s="6">
        <f>E92+F92</f>
        <v/>
      </c>
      <c r="H92" s="10" t="n">
        <v>2</v>
      </c>
      <c r="I92" s="7">
        <f>H92/(180*0.714)</f>
        <v/>
      </c>
    </row>
    <row r="93">
      <c r="A93" s="4" t="inlineStr">
        <is>
          <t>SERV-10089</t>
        </is>
      </c>
      <c r="B93" s="5" t="inlineStr">
        <is>
          <t>Professor da Educação Básica (40h)</t>
        </is>
      </c>
      <c r="C93" s="4" t="inlineStr">
        <is>
          <t>Efetivo Concursado</t>
        </is>
      </c>
      <c r="D93" s="4" t="inlineStr">
        <is>
          <t>SEC-EDU</t>
        </is>
      </c>
      <c r="E93" s="6" t="n">
        <v>5644</v>
      </c>
      <c r="F93" s="6">
        <f>E93*0.22</f>
        <v/>
      </c>
      <c r="G93" s="6">
        <f>E93+F93</f>
        <v/>
      </c>
      <c r="H93" s="10" t="n">
        <v>3</v>
      </c>
      <c r="I93" s="7">
        <f>H93/(180*0.714)</f>
        <v/>
      </c>
    </row>
    <row r="94">
      <c r="A94" s="4" t="inlineStr">
        <is>
          <t>SERV-10090</t>
        </is>
      </c>
      <c r="B94" s="5" t="inlineStr">
        <is>
          <t>Professor da Educação Básica (40h)</t>
        </is>
      </c>
      <c r="C94" s="4" t="inlineStr">
        <is>
          <t>Efetivo Concursado</t>
        </is>
      </c>
      <c r="D94" s="4" t="inlineStr">
        <is>
          <t>SEC-EDU</t>
        </is>
      </c>
      <c r="E94" s="6" t="n">
        <v>5447.83</v>
      </c>
      <c r="F94" s="6">
        <f>E94*0.22</f>
        <v/>
      </c>
      <c r="G94" s="6">
        <f>E94+F94</f>
        <v/>
      </c>
      <c r="H94" s="10" t="n">
        <v>7</v>
      </c>
      <c r="I94" s="7">
        <f>H94/(180*0.714)</f>
        <v/>
      </c>
    </row>
    <row r="95">
      <c r="A95" s="4" t="inlineStr">
        <is>
          <t>SERV-10091</t>
        </is>
      </c>
      <c r="B95" s="5" t="inlineStr">
        <is>
          <t>Professor da Educação Básica (40h)</t>
        </is>
      </c>
      <c r="C95" s="4" t="inlineStr">
        <is>
          <t>Efetivo Concursado</t>
        </is>
      </c>
      <c r="D95" s="4" t="inlineStr">
        <is>
          <t>SEC-EDU</t>
        </is>
      </c>
      <c r="E95" s="6" t="n">
        <v>5394.77</v>
      </c>
      <c r="F95" s="6">
        <f>E95*0.22</f>
        <v/>
      </c>
      <c r="G95" s="6">
        <f>E95+F95</f>
        <v/>
      </c>
      <c r="H95" s="10" t="n">
        <v>2</v>
      </c>
      <c r="I95" s="7">
        <f>H95/(180*0.714)</f>
        <v/>
      </c>
    </row>
    <row r="96">
      <c r="A96" s="4" t="inlineStr">
        <is>
          <t>SERV-10092</t>
        </is>
      </c>
      <c r="B96" s="5" t="inlineStr">
        <is>
          <t>Professor da Educação Básica (40h)</t>
        </is>
      </c>
      <c r="C96" s="4" t="inlineStr">
        <is>
          <t>Efetivo Concursado</t>
        </is>
      </c>
      <c r="D96" s="4" t="inlineStr">
        <is>
          <t>SEC-EDU</t>
        </is>
      </c>
      <c r="E96" s="6" t="n">
        <v>5805.37</v>
      </c>
      <c r="F96" s="6">
        <f>E96*0.22</f>
        <v/>
      </c>
      <c r="G96" s="6">
        <f>E96+F96</f>
        <v/>
      </c>
      <c r="H96" s="10" t="n">
        <v>2</v>
      </c>
      <c r="I96" s="7">
        <f>H96/(180*0.714)</f>
        <v/>
      </c>
    </row>
    <row r="97">
      <c r="A97" s="4" t="inlineStr">
        <is>
          <t>SERV-10093</t>
        </is>
      </c>
      <c r="B97" s="5" t="inlineStr">
        <is>
          <t>Professor da Educação Básica (40h)</t>
        </is>
      </c>
      <c r="C97" s="4" t="inlineStr">
        <is>
          <t>Efetivo Concursado</t>
        </is>
      </c>
      <c r="D97" s="4" t="inlineStr">
        <is>
          <t>SEC-EDU</t>
        </is>
      </c>
      <c r="E97" s="6" t="n">
        <v>5208.39</v>
      </c>
      <c r="F97" s="6">
        <f>E97*0.22</f>
        <v/>
      </c>
      <c r="G97" s="6">
        <f>E97+F97</f>
        <v/>
      </c>
      <c r="H97" s="10" t="n">
        <v>6</v>
      </c>
      <c r="I97" s="7">
        <f>H97/(180*0.714)</f>
        <v/>
      </c>
    </row>
    <row r="98">
      <c r="A98" s="4" t="inlineStr">
        <is>
          <t>SERV-10094</t>
        </is>
      </c>
      <c r="B98" s="5" t="inlineStr">
        <is>
          <t>Professor da Educação Básica (40h)</t>
        </is>
      </c>
      <c r="C98" s="4" t="inlineStr">
        <is>
          <t>Efetivo Concursado</t>
        </is>
      </c>
      <c r="D98" s="4" t="inlineStr">
        <is>
          <t>SEC-EDU</t>
        </is>
      </c>
      <c r="E98" s="6" t="n">
        <v>5573.64</v>
      </c>
      <c r="F98" s="6">
        <f>E98*0.22</f>
        <v/>
      </c>
      <c r="G98" s="6">
        <f>E98+F98</f>
        <v/>
      </c>
      <c r="H98" s="10" t="n">
        <v>5</v>
      </c>
      <c r="I98" s="7">
        <f>H98/(180*0.714)</f>
        <v/>
      </c>
    </row>
    <row r="99">
      <c r="A99" s="4" t="inlineStr">
        <is>
          <t>SERV-10095</t>
        </is>
      </c>
      <c r="B99" s="5" t="inlineStr">
        <is>
          <t>Professor da Educação Básica (40h)</t>
        </is>
      </c>
      <c r="C99" s="4" t="inlineStr">
        <is>
          <t>Efetivo Concursado</t>
        </is>
      </c>
      <c r="D99" s="4" t="inlineStr">
        <is>
          <t>SEC-EDU</t>
        </is>
      </c>
      <c r="E99" s="6" t="n">
        <v>5210.58</v>
      </c>
      <c r="F99" s="6">
        <f>E99*0.22</f>
        <v/>
      </c>
      <c r="G99" s="6">
        <f>E99+F99</f>
        <v/>
      </c>
      <c r="H99" s="10" t="n">
        <v>4</v>
      </c>
      <c r="I99" s="7">
        <f>H99/(180*0.714)</f>
        <v/>
      </c>
    </row>
    <row r="100">
      <c r="A100" s="4" t="inlineStr">
        <is>
          <t>SERV-10096</t>
        </is>
      </c>
      <c r="B100" s="5" t="inlineStr">
        <is>
          <t>Professor da Educação Básica (40h)</t>
        </is>
      </c>
      <c r="C100" s="4" t="inlineStr">
        <is>
          <t>Efetivo Concursado</t>
        </is>
      </c>
      <c r="D100" s="4" t="inlineStr">
        <is>
          <t>SEC-EDU</t>
        </is>
      </c>
      <c r="E100" s="6" t="n">
        <v>5451.59</v>
      </c>
      <c r="F100" s="6">
        <f>E100*0.22</f>
        <v/>
      </c>
      <c r="G100" s="6">
        <f>E100+F100</f>
        <v/>
      </c>
      <c r="H100" s="10" t="n">
        <v>3</v>
      </c>
      <c r="I100" s="7">
        <f>H100/(180*0.714)</f>
        <v/>
      </c>
    </row>
    <row r="101">
      <c r="A101" s="4" t="inlineStr">
        <is>
          <t>SERV-10097</t>
        </is>
      </c>
      <c r="B101" s="5" t="inlineStr">
        <is>
          <t>Professor da Educação Básica (40h)</t>
        </is>
      </c>
      <c r="C101" s="4" t="inlineStr">
        <is>
          <t>Efetivo Concursado</t>
        </is>
      </c>
      <c r="D101" s="4" t="inlineStr">
        <is>
          <t>SEC-EDU</t>
        </is>
      </c>
      <c r="E101" s="6" t="n">
        <v>4969.72</v>
      </c>
      <c r="F101" s="6">
        <f>E101*0.22</f>
        <v/>
      </c>
      <c r="G101" s="6">
        <f>E101+F101</f>
        <v/>
      </c>
      <c r="H101" s="10" t="n">
        <v>7</v>
      </c>
      <c r="I101" s="7">
        <f>H101/(180*0.714)</f>
        <v/>
      </c>
    </row>
    <row r="102">
      <c r="A102" s="4" t="inlineStr">
        <is>
          <t>SERV-10098</t>
        </is>
      </c>
      <c r="B102" s="5" t="inlineStr">
        <is>
          <t>Professor da Educação Básica (40h)</t>
        </is>
      </c>
      <c r="C102" s="4" t="inlineStr">
        <is>
          <t>Efetivo Concursado</t>
        </is>
      </c>
      <c r="D102" s="4" t="inlineStr">
        <is>
          <t>SEC-EDU</t>
        </is>
      </c>
      <c r="E102" s="6" t="n">
        <v>5010.86</v>
      </c>
      <c r="F102" s="6">
        <f>E102*0.22</f>
        <v/>
      </c>
      <c r="G102" s="6">
        <f>E102+F102</f>
        <v/>
      </c>
      <c r="H102" s="10" t="n">
        <v>5</v>
      </c>
      <c r="I102" s="7">
        <f>H102/(180*0.714)</f>
        <v/>
      </c>
    </row>
    <row r="103">
      <c r="A103" s="4" t="inlineStr">
        <is>
          <t>SERV-10099</t>
        </is>
      </c>
      <c r="B103" s="5" t="inlineStr">
        <is>
          <t>Professor da Educação Básica (40h)</t>
        </is>
      </c>
      <c r="C103" s="4" t="inlineStr">
        <is>
          <t>Efetivo Concursado</t>
        </is>
      </c>
      <c r="D103" s="4" t="inlineStr">
        <is>
          <t>SEC-EDU</t>
        </is>
      </c>
      <c r="E103" s="6" t="n">
        <v>5790.69</v>
      </c>
      <c r="F103" s="6">
        <f>E103*0.22</f>
        <v/>
      </c>
      <c r="G103" s="6">
        <f>E103+F103</f>
        <v/>
      </c>
      <c r="H103" s="10" t="n">
        <v>3</v>
      </c>
      <c r="I103" s="7">
        <f>H103/(180*0.714)</f>
        <v/>
      </c>
    </row>
    <row r="104">
      <c r="A104" s="4" t="inlineStr">
        <is>
          <t>SERV-10100</t>
        </is>
      </c>
      <c r="B104" s="5" t="inlineStr">
        <is>
          <t>Professor da Educação Básica (40h)</t>
        </is>
      </c>
      <c r="C104" s="4" t="inlineStr">
        <is>
          <t>Efetivo Concursado</t>
        </is>
      </c>
      <c r="D104" s="4" t="inlineStr">
        <is>
          <t>SEC-EDU</t>
        </is>
      </c>
      <c r="E104" s="6" t="n">
        <v>5091.13</v>
      </c>
      <c r="F104" s="6">
        <f>E104*0.22</f>
        <v/>
      </c>
      <c r="G104" s="6">
        <f>E104+F104</f>
        <v/>
      </c>
      <c r="H104" s="10" t="n">
        <v>3</v>
      </c>
      <c r="I104" s="7">
        <f>H104/(180*0.714)</f>
        <v/>
      </c>
    </row>
    <row r="105">
      <c r="A105" s="4" t="inlineStr">
        <is>
          <t>SERV-10101</t>
        </is>
      </c>
      <c r="B105" s="5" t="inlineStr">
        <is>
          <t>Professor da Educação Básica (40h)</t>
        </is>
      </c>
      <c r="C105" s="4" t="inlineStr">
        <is>
          <t>Efetivo Concursado</t>
        </is>
      </c>
      <c r="D105" s="4" t="inlineStr">
        <is>
          <t>SEC-EDU</t>
        </is>
      </c>
      <c r="E105" s="6" t="n">
        <v>5745.9</v>
      </c>
      <c r="F105" s="6">
        <f>E105*0.22</f>
        <v/>
      </c>
      <c r="G105" s="6">
        <f>E105+F105</f>
        <v/>
      </c>
      <c r="H105" s="10" t="n">
        <v>6</v>
      </c>
      <c r="I105" s="7">
        <f>H105/(180*0.714)</f>
        <v/>
      </c>
    </row>
    <row r="106">
      <c r="A106" s="4" t="inlineStr">
        <is>
          <t>SERV-10102</t>
        </is>
      </c>
      <c r="B106" s="5" t="inlineStr">
        <is>
          <t>Professor da Educação Básica (40h)</t>
        </is>
      </c>
      <c r="C106" s="4" t="inlineStr">
        <is>
          <t>Efetivo Concursado</t>
        </is>
      </c>
      <c r="D106" s="4" t="inlineStr">
        <is>
          <t>SEC-EDU</t>
        </is>
      </c>
      <c r="E106" s="6" t="n">
        <v>5350.85</v>
      </c>
      <c r="F106" s="6">
        <f>E106*0.22</f>
        <v/>
      </c>
      <c r="G106" s="6">
        <f>E106+F106</f>
        <v/>
      </c>
      <c r="H106" s="10" t="n">
        <v>7</v>
      </c>
      <c r="I106" s="7">
        <f>H106/(180*0.714)</f>
        <v/>
      </c>
    </row>
    <row r="107">
      <c r="A107" s="4" t="inlineStr">
        <is>
          <t>SERV-10103</t>
        </is>
      </c>
      <c r="B107" s="5" t="inlineStr">
        <is>
          <t>Professor da Educação Básica (40h)</t>
        </is>
      </c>
      <c r="C107" s="4" t="inlineStr">
        <is>
          <t>Efetivo Concursado</t>
        </is>
      </c>
      <c r="D107" s="4" t="inlineStr">
        <is>
          <t>SEC-EDU</t>
        </is>
      </c>
      <c r="E107" s="6" t="n">
        <v>5817.96</v>
      </c>
      <c r="F107" s="6">
        <f>E107*0.22</f>
        <v/>
      </c>
      <c r="G107" s="6">
        <f>E107+F107</f>
        <v/>
      </c>
      <c r="H107" s="10" t="n">
        <v>2</v>
      </c>
      <c r="I107" s="7">
        <f>H107/(180*0.714)</f>
        <v/>
      </c>
    </row>
    <row r="108">
      <c r="A108" s="4" t="inlineStr">
        <is>
          <t>SERV-10104</t>
        </is>
      </c>
      <c r="B108" s="5" t="inlineStr">
        <is>
          <t>Professor da Educação Básica (40h)</t>
        </is>
      </c>
      <c r="C108" s="4" t="inlineStr">
        <is>
          <t>Efetivo Concursado</t>
        </is>
      </c>
      <c r="D108" s="4" t="inlineStr">
        <is>
          <t>SEC-EDU</t>
        </is>
      </c>
      <c r="E108" s="6" t="n">
        <v>5799.94</v>
      </c>
      <c r="F108" s="6">
        <f>E108*0.22</f>
        <v/>
      </c>
      <c r="G108" s="6">
        <f>E108+F108</f>
        <v/>
      </c>
      <c r="H108" s="10" t="n">
        <v>4</v>
      </c>
      <c r="I108" s="7">
        <f>H108/(180*0.714)</f>
        <v/>
      </c>
    </row>
    <row r="109">
      <c r="A109" s="4" t="inlineStr">
        <is>
          <t>SERV-10105</t>
        </is>
      </c>
      <c r="B109" s="5" t="inlineStr">
        <is>
          <t>Professor da Educação Básica (40h)</t>
        </is>
      </c>
      <c r="C109" s="4" t="inlineStr">
        <is>
          <t>Efetivo Concursado</t>
        </is>
      </c>
      <c r="D109" s="4" t="inlineStr">
        <is>
          <t>SEC-EDU</t>
        </is>
      </c>
      <c r="E109" s="6" t="n">
        <v>5420.67</v>
      </c>
      <c r="F109" s="6">
        <f>E109*0.22</f>
        <v/>
      </c>
      <c r="G109" s="6">
        <f>E109+F109</f>
        <v/>
      </c>
      <c r="H109" s="10" t="n">
        <v>4</v>
      </c>
      <c r="I109" s="7">
        <f>H109/(180*0.714)</f>
        <v/>
      </c>
    </row>
    <row r="110">
      <c r="A110" s="4" t="inlineStr">
        <is>
          <t>SERV-10106</t>
        </is>
      </c>
      <c r="B110" s="5" t="inlineStr">
        <is>
          <t>Professor da Educação Básica (40h)</t>
        </is>
      </c>
      <c r="C110" s="4" t="inlineStr">
        <is>
          <t>Efetivo Concursado</t>
        </is>
      </c>
      <c r="D110" s="4" t="inlineStr">
        <is>
          <t>SEC-EDU</t>
        </is>
      </c>
      <c r="E110" s="6" t="n">
        <v>5700.34</v>
      </c>
      <c r="F110" s="6">
        <f>E110*0.22</f>
        <v/>
      </c>
      <c r="G110" s="6">
        <f>E110+F110</f>
        <v/>
      </c>
      <c r="H110" s="10" t="n">
        <v>7</v>
      </c>
      <c r="I110" s="7">
        <f>H110/(180*0.714)</f>
        <v/>
      </c>
    </row>
    <row r="111">
      <c r="A111" s="4" t="inlineStr">
        <is>
          <t>SERV-10107</t>
        </is>
      </c>
      <c r="B111" s="5" t="inlineStr">
        <is>
          <t>Professor da Educação Básica (40h)</t>
        </is>
      </c>
      <c r="C111" s="4" t="inlineStr">
        <is>
          <t>Efetivo Concursado</t>
        </is>
      </c>
      <c r="D111" s="4" t="inlineStr">
        <is>
          <t>SEC-EDU</t>
        </is>
      </c>
      <c r="E111" s="6" t="n">
        <v>4829.98</v>
      </c>
      <c r="F111" s="6">
        <f>E111*0.22</f>
        <v/>
      </c>
      <c r="G111" s="6">
        <f>E111+F111</f>
        <v/>
      </c>
      <c r="H111" s="10" t="n">
        <v>7</v>
      </c>
      <c r="I111" s="7">
        <f>H111/(180*0.714)</f>
        <v/>
      </c>
    </row>
    <row r="112">
      <c r="A112" s="4" t="inlineStr">
        <is>
          <t>SERV-10108</t>
        </is>
      </c>
      <c r="B112" s="5" t="inlineStr">
        <is>
          <t>Professor da Educação Básica (40h)</t>
        </is>
      </c>
      <c r="C112" s="4" t="inlineStr">
        <is>
          <t>Efetivo Concursado</t>
        </is>
      </c>
      <c r="D112" s="4" t="inlineStr">
        <is>
          <t>SEC-EDU</t>
        </is>
      </c>
      <c r="E112" s="6" t="n">
        <v>4940.86</v>
      </c>
      <c r="F112" s="6">
        <f>E112*0.22</f>
        <v/>
      </c>
      <c r="G112" s="6">
        <f>E112+F112</f>
        <v/>
      </c>
      <c r="H112" s="10" t="n">
        <v>5</v>
      </c>
      <c r="I112" s="7">
        <f>H112/(180*0.714)</f>
        <v/>
      </c>
    </row>
    <row r="113">
      <c r="A113" s="4" t="inlineStr">
        <is>
          <t>SERV-10109</t>
        </is>
      </c>
      <c r="B113" s="5" t="inlineStr">
        <is>
          <t>Professor da Educação Básica (40h)</t>
        </is>
      </c>
      <c r="C113" s="4" t="inlineStr">
        <is>
          <t>Efetivo Concursado</t>
        </is>
      </c>
      <c r="D113" s="4" t="inlineStr">
        <is>
          <t>SEC-EDU</t>
        </is>
      </c>
      <c r="E113" s="6" t="n">
        <v>4985.28</v>
      </c>
      <c r="F113" s="6">
        <f>E113*0.22</f>
        <v/>
      </c>
      <c r="G113" s="6">
        <f>E113+F113</f>
        <v/>
      </c>
      <c r="H113" s="10" t="n">
        <v>2</v>
      </c>
      <c r="I113" s="7">
        <f>H113/(180*0.714)</f>
        <v/>
      </c>
    </row>
    <row r="114">
      <c r="A114" s="4" t="inlineStr">
        <is>
          <t>SERV-10110</t>
        </is>
      </c>
      <c r="B114" s="5" t="inlineStr">
        <is>
          <t>Professor da Educação Básica (40h)</t>
        </is>
      </c>
      <c r="C114" s="4" t="inlineStr">
        <is>
          <t>Efetivo Concursado</t>
        </is>
      </c>
      <c r="D114" s="4" t="inlineStr">
        <is>
          <t>SEC-EDU</t>
        </is>
      </c>
      <c r="E114" s="6" t="n">
        <v>4893.04</v>
      </c>
      <c r="F114" s="6">
        <f>E114*0.22</f>
        <v/>
      </c>
      <c r="G114" s="6">
        <f>E114+F114</f>
        <v/>
      </c>
      <c r="H114" s="10" t="n">
        <v>2</v>
      </c>
      <c r="I114" s="7">
        <f>H114/(180*0.714)</f>
        <v/>
      </c>
    </row>
    <row r="115">
      <c r="A115" s="4" t="inlineStr">
        <is>
          <t>SERV-10111</t>
        </is>
      </c>
      <c r="B115" s="5" t="inlineStr">
        <is>
          <t>Professor da Educação Básica (40h)</t>
        </is>
      </c>
      <c r="C115" s="4" t="inlineStr">
        <is>
          <t>Efetivo Concursado</t>
        </is>
      </c>
      <c r="D115" s="4" t="inlineStr">
        <is>
          <t>SEC-EDU</t>
        </is>
      </c>
      <c r="E115" s="6" t="n">
        <v>5815.34</v>
      </c>
      <c r="F115" s="6">
        <f>E115*0.22</f>
        <v/>
      </c>
      <c r="G115" s="6">
        <f>E115+F115</f>
        <v/>
      </c>
      <c r="H115" s="10" t="n">
        <v>2</v>
      </c>
      <c r="I115" s="7">
        <f>H115/(180*0.714)</f>
        <v/>
      </c>
    </row>
    <row r="116">
      <c r="A116" s="4" t="inlineStr">
        <is>
          <t>SERV-10112</t>
        </is>
      </c>
      <c r="B116" s="5" t="inlineStr">
        <is>
          <t>Professor da Educação Básica (40h)</t>
        </is>
      </c>
      <c r="C116" s="4" t="inlineStr">
        <is>
          <t>Efetivo Concursado</t>
        </is>
      </c>
      <c r="D116" s="4" t="inlineStr">
        <is>
          <t>SEC-EDU</t>
        </is>
      </c>
      <c r="E116" s="6" t="n">
        <v>4888.47</v>
      </c>
      <c r="F116" s="6">
        <f>E116*0.22</f>
        <v/>
      </c>
      <c r="G116" s="6">
        <f>E116+F116</f>
        <v/>
      </c>
      <c r="H116" s="10" t="n">
        <v>4</v>
      </c>
      <c r="I116" s="7">
        <f>H116/(180*0.714)</f>
        <v/>
      </c>
    </row>
    <row r="117">
      <c r="A117" s="4" t="inlineStr">
        <is>
          <t>SERV-10113</t>
        </is>
      </c>
      <c r="B117" s="5" t="inlineStr">
        <is>
          <t>Professor da Educação Básica (40h)</t>
        </is>
      </c>
      <c r="C117" s="4" t="inlineStr">
        <is>
          <t>Efetivo Concursado</t>
        </is>
      </c>
      <c r="D117" s="4" t="inlineStr">
        <is>
          <t>SEC-EDU</t>
        </is>
      </c>
      <c r="E117" s="6" t="n">
        <v>5041.23</v>
      </c>
      <c r="F117" s="6">
        <f>E117*0.22</f>
        <v/>
      </c>
      <c r="G117" s="6">
        <f>E117+F117</f>
        <v/>
      </c>
      <c r="H117" s="10" t="n">
        <v>6</v>
      </c>
      <c r="I117" s="7">
        <f>H117/(180*0.714)</f>
        <v/>
      </c>
    </row>
    <row r="118">
      <c r="A118" s="4" t="inlineStr">
        <is>
          <t>SERV-10114</t>
        </is>
      </c>
      <c r="B118" s="5" t="inlineStr">
        <is>
          <t>Professor da Educação Básica (40h)</t>
        </is>
      </c>
      <c r="C118" s="4" t="inlineStr">
        <is>
          <t>Efetivo Concursado</t>
        </is>
      </c>
      <c r="D118" s="4" t="inlineStr">
        <is>
          <t>SEC-EDU</t>
        </is>
      </c>
      <c r="E118" s="6" t="n">
        <v>4863.51</v>
      </c>
      <c r="F118" s="6">
        <f>E118*0.22</f>
        <v/>
      </c>
      <c r="G118" s="6">
        <f>E118+F118</f>
        <v/>
      </c>
      <c r="H118" s="10" t="n">
        <v>5</v>
      </c>
      <c r="I118" s="7">
        <f>H118/(180*0.714)</f>
        <v/>
      </c>
    </row>
    <row r="119">
      <c r="A119" s="4" t="inlineStr">
        <is>
          <t>SERV-10115</t>
        </is>
      </c>
      <c r="B119" s="5" t="inlineStr">
        <is>
          <t>Professor da Educação Básica (40h)</t>
        </is>
      </c>
      <c r="C119" s="4" t="inlineStr">
        <is>
          <t>Efetivo Concursado</t>
        </is>
      </c>
      <c r="D119" s="4" t="inlineStr">
        <is>
          <t>SEC-EDU</t>
        </is>
      </c>
      <c r="E119" s="6" t="n">
        <v>5671.07</v>
      </c>
      <c r="F119" s="6">
        <f>E119*0.22</f>
        <v/>
      </c>
      <c r="G119" s="6">
        <f>E119+F119</f>
        <v/>
      </c>
      <c r="H119" s="10" t="n">
        <v>7</v>
      </c>
      <c r="I119" s="7">
        <f>H119/(180*0.714)</f>
        <v/>
      </c>
    </row>
    <row r="120">
      <c r="A120" s="4" t="inlineStr">
        <is>
          <t>SERV-10116</t>
        </is>
      </c>
      <c r="B120" s="5" t="inlineStr">
        <is>
          <t>Professor da Educação Básica (40h)</t>
        </is>
      </c>
      <c r="C120" s="4" t="inlineStr">
        <is>
          <t>Efetivo Concursado</t>
        </is>
      </c>
      <c r="D120" s="4" t="inlineStr">
        <is>
          <t>SEC-EDU</t>
        </is>
      </c>
      <c r="E120" s="6" t="n">
        <v>5715.33</v>
      </c>
      <c r="F120" s="6">
        <f>E120*0.22</f>
        <v/>
      </c>
      <c r="G120" s="6">
        <f>E120+F120</f>
        <v/>
      </c>
      <c r="H120" s="10" t="n">
        <v>3</v>
      </c>
      <c r="I120" s="7">
        <f>H120/(180*0.714)</f>
        <v/>
      </c>
    </row>
    <row r="121">
      <c r="A121" s="4" t="inlineStr">
        <is>
          <t>SERV-10117</t>
        </is>
      </c>
      <c r="B121" s="5" t="inlineStr">
        <is>
          <t>Professor da Educação Básica (40h)</t>
        </is>
      </c>
      <c r="C121" s="4" t="inlineStr">
        <is>
          <t>Efetivo Concursado</t>
        </is>
      </c>
      <c r="D121" s="4" t="inlineStr">
        <is>
          <t>SEC-EDU</t>
        </is>
      </c>
      <c r="E121" s="6" t="n">
        <v>5777.37</v>
      </c>
      <c r="F121" s="6">
        <f>E121*0.22</f>
        <v/>
      </c>
      <c r="G121" s="6">
        <f>E121+F121</f>
        <v/>
      </c>
      <c r="H121" s="10" t="n">
        <v>4</v>
      </c>
      <c r="I121" s="7">
        <f>H121/(180*0.714)</f>
        <v/>
      </c>
    </row>
    <row r="122">
      <c r="A122" s="4" t="inlineStr">
        <is>
          <t>SERV-10118</t>
        </is>
      </c>
      <c r="B122" s="5" t="inlineStr">
        <is>
          <t>Professor da Educação Básica (40h)</t>
        </is>
      </c>
      <c r="C122" s="4" t="inlineStr">
        <is>
          <t>Efetivo Concursado</t>
        </is>
      </c>
      <c r="D122" s="4" t="inlineStr">
        <is>
          <t>SEC-EDU</t>
        </is>
      </c>
      <c r="E122" s="6" t="n">
        <v>5377.03</v>
      </c>
      <c r="F122" s="6">
        <f>E122*0.22</f>
        <v/>
      </c>
      <c r="G122" s="6">
        <f>E122+F122</f>
        <v/>
      </c>
      <c r="H122" s="10" t="n">
        <v>7</v>
      </c>
      <c r="I122" s="7">
        <f>H122/(180*0.714)</f>
        <v/>
      </c>
    </row>
    <row r="123">
      <c r="A123" s="4" t="inlineStr">
        <is>
          <t>SERV-10119</t>
        </is>
      </c>
      <c r="B123" s="5" t="inlineStr">
        <is>
          <t>Professor da Educação Básica (40h)</t>
        </is>
      </c>
      <c r="C123" s="4" t="inlineStr">
        <is>
          <t>Efetivo Concursado</t>
        </is>
      </c>
      <c r="D123" s="4" t="inlineStr">
        <is>
          <t>SEC-EDU</t>
        </is>
      </c>
      <c r="E123" s="6" t="n">
        <v>4991.61</v>
      </c>
      <c r="F123" s="6">
        <f>E123*0.22</f>
        <v/>
      </c>
      <c r="G123" s="6">
        <f>E123+F123</f>
        <v/>
      </c>
      <c r="H123" s="10" t="n">
        <v>3</v>
      </c>
      <c r="I123" s="7">
        <f>H123/(180*0.714)</f>
        <v/>
      </c>
    </row>
    <row r="124">
      <c r="A124" s="4" t="inlineStr">
        <is>
          <t>SERV-10120</t>
        </is>
      </c>
      <c r="B124" s="5" t="inlineStr">
        <is>
          <t>Professor da Educação Básica (40h)</t>
        </is>
      </c>
      <c r="C124" s="4" t="inlineStr">
        <is>
          <t>Efetivo Concursado</t>
        </is>
      </c>
      <c r="D124" s="4" t="inlineStr">
        <is>
          <t>SEC-EDU</t>
        </is>
      </c>
      <c r="E124" s="6" t="n">
        <v>5489.47</v>
      </c>
      <c r="F124" s="6">
        <f>E124*0.22</f>
        <v/>
      </c>
      <c r="G124" s="6">
        <f>E124+F124</f>
        <v/>
      </c>
      <c r="H124" s="10" t="n">
        <v>4</v>
      </c>
      <c r="I124" s="7">
        <f>H124/(180*0.714)</f>
        <v/>
      </c>
    </row>
    <row r="125">
      <c r="A125" s="4" t="inlineStr">
        <is>
          <t>SERV-10121</t>
        </is>
      </c>
      <c r="B125" s="5" t="inlineStr">
        <is>
          <t>Professor da Educação Básica (40h)</t>
        </is>
      </c>
      <c r="C125" s="4" t="inlineStr">
        <is>
          <t>Efetivo Concursado</t>
        </is>
      </c>
      <c r="D125" s="4" t="inlineStr">
        <is>
          <t>SEC-EDU</t>
        </is>
      </c>
      <c r="E125" s="6" t="n">
        <v>5060.8</v>
      </c>
      <c r="F125" s="6">
        <f>E125*0.22</f>
        <v/>
      </c>
      <c r="G125" s="6">
        <f>E125+F125</f>
        <v/>
      </c>
      <c r="H125" s="10" t="n">
        <v>2</v>
      </c>
      <c r="I125" s="7">
        <f>H125/(180*0.714)</f>
        <v/>
      </c>
    </row>
    <row r="126">
      <c r="A126" s="4" t="inlineStr">
        <is>
          <t>SERV-10122</t>
        </is>
      </c>
      <c r="B126" s="5" t="inlineStr">
        <is>
          <t>Professor da Educação Básica (40h)</t>
        </is>
      </c>
      <c r="C126" s="4" t="inlineStr">
        <is>
          <t>Efetivo Concursado</t>
        </is>
      </c>
      <c r="D126" s="4" t="inlineStr">
        <is>
          <t>SEC-EDU</t>
        </is>
      </c>
      <c r="E126" s="6" t="n">
        <v>5123.33</v>
      </c>
      <c r="F126" s="6">
        <f>E126*0.22</f>
        <v/>
      </c>
      <c r="G126" s="6">
        <f>E126+F126</f>
        <v/>
      </c>
      <c r="H126" s="10" t="n">
        <v>4</v>
      </c>
      <c r="I126" s="7">
        <f>H126/(180*0.714)</f>
        <v/>
      </c>
    </row>
    <row r="127">
      <c r="A127" s="4" t="inlineStr">
        <is>
          <t>SERV-10123</t>
        </is>
      </c>
      <c r="B127" s="5" t="inlineStr">
        <is>
          <t>Professor da Educação Básica (40h)</t>
        </is>
      </c>
      <c r="C127" s="4" t="inlineStr">
        <is>
          <t>Efetivo Concursado</t>
        </is>
      </c>
      <c r="D127" s="4" t="inlineStr">
        <is>
          <t>SEC-EDU</t>
        </is>
      </c>
      <c r="E127" s="6" t="n">
        <v>4979.21</v>
      </c>
      <c r="F127" s="6">
        <f>E127*0.22</f>
        <v/>
      </c>
      <c r="G127" s="6">
        <f>E127+F127</f>
        <v/>
      </c>
      <c r="H127" s="10" t="n">
        <v>4</v>
      </c>
      <c r="I127" s="7">
        <f>H127/(180*0.714)</f>
        <v/>
      </c>
    </row>
    <row r="128">
      <c r="A128" s="4" t="inlineStr">
        <is>
          <t>SERV-10124</t>
        </is>
      </c>
      <c r="B128" s="5" t="inlineStr">
        <is>
          <t>Professor da Educação Básica (40h)</t>
        </is>
      </c>
      <c r="C128" s="4" t="inlineStr">
        <is>
          <t>Efetivo Concursado</t>
        </is>
      </c>
      <c r="D128" s="4" t="inlineStr">
        <is>
          <t>SEC-EDU</t>
        </is>
      </c>
      <c r="E128" s="6" t="n">
        <v>5229.57</v>
      </c>
      <c r="F128" s="6">
        <f>E128*0.22</f>
        <v/>
      </c>
      <c r="G128" s="6">
        <f>E128+F128</f>
        <v/>
      </c>
      <c r="H128" s="10" t="n">
        <v>5</v>
      </c>
      <c r="I128" s="7">
        <f>H128/(180*0.714)</f>
        <v/>
      </c>
    </row>
    <row r="129">
      <c r="A129" s="4" t="inlineStr">
        <is>
          <t>SERV-10125</t>
        </is>
      </c>
      <c r="B129" s="5" t="inlineStr">
        <is>
          <t>Professor da Educação Básica (40h)</t>
        </is>
      </c>
      <c r="C129" s="4" t="inlineStr">
        <is>
          <t>Efetivo Concursado</t>
        </is>
      </c>
      <c r="D129" s="4" t="inlineStr">
        <is>
          <t>SEC-EDU</t>
        </is>
      </c>
      <c r="E129" s="6" t="n">
        <v>5541.26</v>
      </c>
      <c r="F129" s="6">
        <f>E129*0.22</f>
        <v/>
      </c>
      <c r="G129" s="6">
        <f>E129+F129</f>
        <v/>
      </c>
      <c r="H129" s="10" t="n">
        <v>5</v>
      </c>
      <c r="I129" s="7">
        <f>H129/(180*0.714)</f>
        <v/>
      </c>
    </row>
    <row r="130">
      <c r="A130" s="4" t="inlineStr">
        <is>
          <t>SERV-10126</t>
        </is>
      </c>
      <c r="B130" s="5" t="inlineStr">
        <is>
          <t>Professor da Educação Básica (40h)</t>
        </is>
      </c>
      <c r="C130" s="4" t="inlineStr">
        <is>
          <t>Efetivo Concursado</t>
        </is>
      </c>
      <c r="D130" s="4" t="inlineStr">
        <is>
          <t>SEC-EDU</t>
        </is>
      </c>
      <c r="E130" s="6" t="n">
        <v>5687.11</v>
      </c>
      <c r="F130" s="6">
        <f>E130*0.22</f>
        <v/>
      </c>
      <c r="G130" s="6">
        <f>E130+F130</f>
        <v/>
      </c>
      <c r="H130" s="10" t="n">
        <v>4</v>
      </c>
      <c r="I130" s="7">
        <f>H130/(180*0.714)</f>
        <v/>
      </c>
    </row>
    <row r="131">
      <c r="A131" s="4" t="inlineStr">
        <is>
          <t>SERV-10127</t>
        </is>
      </c>
      <c r="B131" s="5" t="inlineStr">
        <is>
          <t>Professor da Educação Básica (40h)</t>
        </is>
      </c>
      <c r="C131" s="4" t="inlineStr">
        <is>
          <t>Efetivo Concursado</t>
        </is>
      </c>
      <c r="D131" s="4" t="inlineStr">
        <is>
          <t>SEC-EDU</t>
        </is>
      </c>
      <c r="E131" s="6" t="n">
        <v>5404.81</v>
      </c>
      <c r="F131" s="6">
        <f>E131*0.22</f>
        <v/>
      </c>
      <c r="G131" s="6">
        <f>E131+F131</f>
        <v/>
      </c>
      <c r="H131" s="10" t="n">
        <v>7</v>
      </c>
      <c r="I131" s="7">
        <f>H131/(180*0.714)</f>
        <v/>
      </c>
    </row>
    <row r="132">
      <c r="A132" s="4" t="inlineStr">
        <is>
          <t>SERV-10128</t>
        </is>
      </c>
      <c r="B132" s="5" t="inlineStr">
        <is>
          <t>Professor da Educação Básica (40h)</t>
        </is>
      </c>
      <c r="C132" s="4" t="inlineStr">
        <is>
          <t>Efetivo Concursado</t>
        </is>
      </c>
      <c r="D132" s="4" t="inlineStr">
        <is>
          <t>SEC-EDU</t>
        </is>
      </c>
      <c r="E132" s="6" t="n">
        <v>5136.26</v>
      </c>
      <c r="F132" s="6">
        <f>E132*0.22</f>
        <v/>
      </c>
      <c r="G132" s="6">
        <f>E132+F132</f>
        <v/>
      </c>
      <c r="H132" s="10" t="n">
        <v>2</v>
      </c>
      <c r="I132" s="7">
        <f>H132/(180*0.714)</f>
        <v/>
      </c>
    </row>
    <row r="133">
      <c r="A133" s="4" t="inlineStr">
        <is>
          <t>SERV-10129</t>
        </is>
      </c>
      <c r="B133" s="5" t="inlineStr">
        <is>
          <t>Professor da Educação Básica (40h)</t>
        </is>
      </c>
      <c r="C133" s="4" t="inlineStr">
        <is>
          <t>Efetivo Concursado</t>
        </is>
      </c>
      <c r="D133" s="4" t="inlineStr">
        <is>
          <t>SEC-EDU</t>
        </is>
      </c>
      <c r="E133" s="6" t="n">
        <v>4876.11</v>
      </c>
      <c r="F133" s="6">
        <f>E133*0.22</f>
        <v/>
      </c>
      <c r="G133" s="6">
        <f>E133+F133</f>
        <v/>
      </c>
      <c r="H133" s="10" t="n">
        <v>7</v>
      </c>
      <c r="I133" s="7">
        <f>H133/(180*0.714)</f>
        <v/>
      </c>
    </row>
    <row r="134">
      <c r="A134" s="4" t="inlineStr">
        <is>
          <t>SERV-10130</t>
        </is>
      </c>
      <c r="B134" s="5" t="inlineStr">
        <is>
          <t>Professor da Educação Básica (40h)</t>
        </is>
      </c>
      <c r="C134" s="4" t="inlineStr">
        <is>
          <t>Efetivo Concursado</t>
        </is>
      </c>
      <c r="D134" s="4" t="inlineStr">
        <is>
          <t>SEC-EDU</t>
        </is>
      </c>
      <c r="E134" s="6" t="n">
        <v>5220.56</v>
      </c>
      <c r="F134" s="6">
        <f>E134*0.22</f>
        <v/>
      </c>
      <c r="G134" s="6">
        <f>E134+F134</f>
        <v/>
      </c>
      <c r="H134" s="10" t="n">
        <v>6</v>
      </c>
      <c r="I134" s="7">
        <f>H134/(180*0.714)</f>
        <v/>
      </c>
    </row>
    <row r="135">
      <c r="A135" s="4" t="inlineStr">
        <is>
          <t>SERV-10131</t>
        </is>
      </c>
      <c r="B135" s="5" t="inlineStr">
        <is>
          <t>Professor da Educação Básica (40h)</t>
        </is>
      </c>
      <c r="C135" s="4" t="inlineStr">
        <is>
          <t>Efetivo Concursado</t>
        </is>
      </c>
      <c r="D135" s="4" t="inlineStr">
        <is>
          <t>SEC-EDU</t>
        </is>
      </c>
      <c r="E135" s="6" t="n">
        <v>5762.25</v>
      </c>
      <c r="F135" s="6">
        <f>E135*0.22</f>
        <v/>
      </c>
      <c r="G135" s="6">
        <f>E135+F135</f>
        <v/>
      </c>
      <c r="H135" s="10" t="n">
        <v>7</v>
      </c>
      <c r="I135" s="7">
        <f>H135/(180*0.714)</f>
        <v/>
      </c>
    </row>
    <row r="136">
      <c r="A136" s="4" t="inlineStr">
        <is>
          <t>SERV-10132</t>
        </is>
      </c>
      <c r="B136" s="5" t="inlineStr">
        <is>
          <t>Professor da Educação Básica (40h)</t>
        </is>
      </c>
      <c r="C136" s="4" t="inlineStr">
        <is>
          <t>Efetivo Concursado</t>
        </is>
      </c>
      <c r="D136" s="4" t="inlineStr">
        <is>
          <t>SEC-EDU</t>
        </is>
      </c>
      <c r="E136" s="6" t="n">
        <v>5075.36</v>
      </c>
      <c r="F136" s="6">
        <f>E136*0.22</f>
        <v/>
      </c>
      <c r="G136" s="6">
        <f>E136+F136</f>
        <v/>
      </c>
      <c r="H136" s="10" t="n">
        <v>7</v>
      </c>
      <c r="I136" s="7">
        <f>H136/(180*0.714)</f>
        <v/>
      </c>
    </row>
    <row r="137">
      <c r="A137" s="4" t="inlineStr">
        <is>
          <t>SERV-10133</t>
        </is>
      </c>
      <c r="B137" s="5" t="inlineStr">
        <is>
          <t>Professor da Educação Básica (40h)</t>
        </is>
      </c>
      <c r="C137" s="4" t="inlineStr">
        <is>
          <t>Efetivo Concursado</t>
        </is>
      </c>
      <c r="D137" s="4" t="inlineStr">
        <is>
          <t>SEC-EDU</t>
        </is>
      </c>
      <c r="E137" s="6" t="n">
        <v>5774.44</v>
      </c>
      <c r="F137" s="6">
        <f>E137*0.22</f>
        <v/>
      </c>
      <c r="G137" s="6">
        <f>E137+F137</f>
        <v/>
      </c>
      <c r="H137" s="10" t="n">
        <v>2</v>
      </c>
      <c r="I137" s="7">
        <f>H137/(180*0.714)</f>
        <v/>
      </c>
    </row>
    <row r="138">
      <c r="A138" s="4" t="inlineStr">
        <is>
          <t>SERV-10134</t>
        </is>
      </c>
      <c r="B138" s="5" t="inlineStr">
        <is>
          <t>Professor da Educação Básica (40h)</t>
        </is>
      </c>
      <c r="C138" s="4" t="inlineStr">
        <is>
          <t>Efetivo Concursado</t>
        </is>
      </c>
      <c r="D138" s="4" t="inlineStr">
        <is>
          <t>SEC-EDU</t>
        </is>
      </c>
      <c r="E138" s="6" t="n">
        <v>5482.61</v>
      </c>
      <c r="F138" s="6">
        <f>E138*0.22</f>
        <v/>
      </c>
      <c r="G138" s="6">
        <f>E138+F138</f>
        <v/>
      </c>
      <c r="H138" s="10" t="n">
        <v>7</v>
      </c>
      <c r="I138" s="7">
        <f>H138/(180*0.714)</f>
        <v/>
      </c>
    </row>
    <row r="139">
      <c r="A139" s="4" t="inlineStr">
        <is>
          <t>SERV-10135</t>
        </is>
      </c>
      <c r="B139" s="5" t="inlineStr">
        <is>
          <t>Professor da Educação Básica (40h)</t>
        </is>
      </c>
      <c r="C139" s="4" t="inlineStr">
        <is>
          <t>Efetivo Concursado</t>
        </is>
      </c>
      <c r="D139" s="4" t="inlineStr">
        <is>
          <t>SEC-EDU</t>
        </is>
      </c>
      <c r="E139" s="6" t="n">
        <v>5353.81</v>
      </c>
      <c r="F139" s="6">
        <f>E139*0.22</f>
        <v/>
      </c>
      <c r="G139" s="6">
        <f>E139+F139</f>
        <v/>
      </c>
      <c r="H139" s="10" t="n">
        <v>5</v>
      </c>
      <c r="I139" s="7">
        <f>H139/(180*0.714)</f>
        <v/>
      </c>
    </row>
    <row r="140">
      <c r="A140" s="4" t="inlineStr">
        <is>
          <t>SERV-10136</t>
        </is>
      </c>
      <c r="B140" s="5" t="inlineStr">
        <is>
          <t>Professor da Educação Básica (40h)</t>
        </is>
      </c>
      <c r="C140" s="4" t="inlineStr">
        <is>
          <t>Efetivo Concursado</t>
        </is>
      </c>
      <c r="D140" s="4" t="inlineStr">
        <is>
          <t>SEC-EDU</t>
        </is>
      </c>
      <c r="E140" s="6" t="n">
        <v>5160.24</v>
      </c>
      <c r="F140" s="6">
        <f>E140*0.22</f>
        <v/>
      </c>
      <c r="G140" s="6">
        <f>E140+F140</f>
        <v/>
      </c>
      <c r="H140" s="10" t="n">
        <v>2</v>
      </c>
      <c r="I140" s="7">
        <f>H140/(180*0.714)</f>
        <v/>
      </c>
    </row>
    <row r="141">
      <c r="A141" s="4" t="inlineStr">
        <is>
          <t>SERV-10137</t>
        </is>
      </c>
      <c r="B141" s="5" t="inlineStr">
        <is>
          <t>Professor da Educação Básica (40h)</t>
        </is>
      </c>
      <c r="C141" s="4" t="inlineStr">
        <is>
          <t>Efetivo Concursado</t>
        </is>
      </c>
      <c r="D141" s="4" t="inlineStr">
        <is>
          <t>SEC-EDU</t>
        </is>
      </c>
      <c r="E141" s="6" t="n">
        <v>5579.05</v>
      </c>
      <c r="F141" s="6">
        <f>E141*0.22</f>
        <v/>
      </c>
      <c r="G141" s="6">
        <f>E141+F141</f>
        <v/>
      </c>
      <c r="H141" s="10" t="n">
        <v>2</v>
      </c>
      <c r="I141" s="7">
        <f>H141/(180*0.714)</f>
        <v/>
      </c>
    </row>
    <row r="142">
      <c r="A142" s="4" t="inlineStr">
        <is>
          <t>SERV-10138</t>
        </is>
      </c>
      <c r="B142" s="5" t="inlineStr">
        <is>
          <t>Professor da Educação Básica (40h)</t>
        </is>
      </c>
      <c r="C142" s="4" t="inlineStr">
        <is>
          <t>Efetivo Concursado</t>
        </is>
      </c>
      <c r="D142" s="4" t="inlineStr">
        <is>
          <t>SEC-EDU</t>
        </is>
      </c>
      <c r="E142" s="6" t="n">
        <v>5356.64</v>
      </c>
      <c r="F142" s="6">
        <f>E142*0.22</f>
        <v/>
      </c>
      <c r="G142" s="6">
        <f>E142+F142</f>
        <v/>
      </c>
      <c r="H142" s="10" t="n">
        <v>5</v>
      </c>
      <c r="I142" s="7">
        <f>H142/(180*0.714)</f>
        <v/>
      </c>
    </row>
    <row r="143">
      <c r="A143" s="4" t="inlineStr">
        <is>
          <t>SERV-10139</t>
        </is>
      </c>
      <c r="B143" s="5" t="inlineStr">
        <is>
          <t>Professor da Educação Básica (40h)</t>
        </is>
      </c>
      <c r="C143" s="4" t="inlineStr">
        <is>
          <t>Efetivo Concursado</t>
        </is>
      </c>
      <c r="D143" s="4" t="inlineStr">
        <is>
          <t>SEC-EDU</t>
        </is>
      </c>
      <c r="E143" s="6" t="n">
        <v>5488.99</v>
      </c>
      <c r="F143" s="6">
        <f>E143*0.22</f>
        <v/>
      </c>
      <c r="G143" s="6">
        <f>E143+F143</f>
        <v/>
      </c>
      <c r="H143" s="10" t="n">
        <v>4</v>
      </c>
      <c r="I143" s="7">
        <f>H143/(180*0.714)</f>
        <v/>
      </c>
    </row>
    <row r="144">
      <c r="A144" s="4" t="inlineStr">
        <is>
          <t>SERV-10140</t>
        </is>
      </c>
      <c r="B144" s="5" t="inlineStr">
        <is>
          <t>Professor da Educação Básica (40h)</t>
        </is>
      </c>
      <c r="C144" s="4" t="inlineStr">
        <is>
          <t>Efetivo Concursado</t>
        </is>
      </c>
      <c r="D144" s="4" t="inlineStr">
        <is>
          <t>SEC-EDU</t>
        </is>
      </c>
      <c r="E144" s="6" t="n">
        <v>4979.12</v>
      </c>
      <c r="F144" s="6">
        <f>E144*0.22</f>
        <v/>
      </c>
      <c r="G144" s="6">
        <f>E144+F144</f>
        <v/>
      </c>
      <c r="H144" s="10" t="n">
        <v>2</v>
      </c>
      <c r="I144" s="7">
        <f>H144/(180*0.714)</f>
        <v/>
      </c>
    </row>
    <row r="145">
      <c r="A145" s="4" t="inlineStr">
        <is>
          <t>SERV-10141</t>
        </is>
      </c>
      <c r="B145" s="5" t="inlineStr">
        <is>
          <t>Professor da Educação Básica (40h)</t>
        </is>
      </c>
      <c r="C145" s="4" t="inlineStr">
        <is>
          <t>Efetivo Concursado</t>
        </is>
      </c>
      <c r="D145" s="4" t="inlineStr">
        <is>
          <t>SEC-EDU</t>
        </is>
      </c>
      <c r="E145" s="6" t="n">
        <v>5017.99</v>
      </c>
      <c r="F145" s="6">
        <f>E145*0.22</f>
        <v/>
      </c>
      <c r="G145" s="6">
        <f>E145+F145</f>
        <v/>
      </c>
      <c r="H145" s="10" t="n">
        <v>2</v>
      </c>
      <c r="I145" s="7">
        <f>H145/(180*0.714)</f>
        <v/>
      </c>
    </row>
    <row r="146">
      <c r="A146" s="4" t="inlineStr">
        <is>
          <t>SERV-10142</t>
        </is>
      </c>
      <c r="B146" s="5" t="inlineStr">
        <is>
          <t>Professor da Educação Básica (40h)</t>
        </is>
      </c>
      <c r="C146" s="4" t="inlineStr">
        <is>
          <t>Efetivo Concursado</t>
        </is>
      </c>
      <c r="D146" s="4" t="inlineStr">
        <is>
          <t>SEC-EDU</t>
        </is>
      </c>
      <c r="E146" s="6" t="n">
        <v>5346.52</v>
      </c>
      <c r="F146" s="6">
        <f>E146*0.22</f>
        <v/>
      </c>
      <c r="G146" s="6">
        <f>E146+F146</f>
        <v/>
      </c>
      <c r="H146" s="10" t="n">
        <v>6</v>
      </c>
      <c r="I146" s="7">
        <f>H146/(180*0.714)</f>
        <v/>
      </c>
    </row>
    <row r="147">
      <c r="A147" s="4" t="inlineStr">
        <is>
          <t>SERV-10143</t>
        </is>
      </c>
      <c r="B147" s="5" t="inlineStr">
        <is>
          <t>Professor da Educação Básica (40h)</t>
        </is>
      </c>
      <c r="C147" s="4" t="inlineStr">
        <is>
          <t>Efetivo Concursado</t>
        </is>
      </c>
      <c r="D147" s="4" t="inlineStr">
        <is>
          <t>SEC-EDU</t>
        </is>
      </c>
      <c r="E147" s="6" t="n">
        <v>5310.04</v>
      </c>
      <c r="F147" s="6">
        <f>E147*0.22</f>
        <v/>
      </c>
      <c r="G147" s="6">
        <f>E147+F147</f>
        <v/>
      </c>
      <c r="H147" s="10" t="n">
        <v>2</v>
      </c>
      <c r="I147" s="7">
        <f>H147/(180*0.714)</f>
        <v/>
      </c>
    </row>
    <row r="148">
      <c r="A148" s="4" t="inlineStr">
        <is>
          <t>SERV-10144</t>
        </is>
      </c>
      <c r="B148" s="5" t="inlineStr">
        <is>
          <t>Professor da Educação Básica (40h)</t>
        </is>
      </c>
      <c r="C148" s="4" t="inlineStr">
        <is>
          <t>Efetivo Concursado</t>
        </is>
      </c>
      <c r="D148" s="4" t="inlineStr">
        <is>
          <t>SEC-EDU</t>
        </is>
      </c>
      <c r="E148" s="6" t="n">
        <v>4919.46</v>
      </c>
      <c r="F148" s="6">
        <f>E148*0.22</f>
        <v/>
      </c>
      <c r="G148" s="6">
        <f>E148+F148</f>
        <v/>
      </c>
      <c r="H148" s="10" t="n">
        <v>6</v>
      </c>
      <c r="I148" s="7">
        <f>H148/(180*0.714)</f>
        <v/>
      </c>
    </row>
    <row r="149">
      <c r="A149" s="4" t="inlineStr">
        <is>
          <t>SERV-10145</t>
        </is>
      </c>
      <c r="B149" s="5" t="inlineStr">
        <is>
          <t>Professor da Educação Básica (40h)</t>
        </is>
      </c>
      <c r="C149" s="4" t="inlineStr">
        <is>
          <t>Efetivo Concursado</t>
        </is>
      </c>
      <c r="D149" s="4" t="inlineStr">
        <is>
          <t>SEC-EDU</t>
        </is>
      </c>
      <c r="E149" s="6" t="n">
        <v>5309.47</v>
      </c>
      <c r="F149" s="6">
        <f>E149*0.22</f>
        <v/>
      </c>
      <c r="G149" s="6">
        <f>E149+F149</f>
        <v/>
      </c>
      <c r="H149" s="10" t="n">
        <v>6</v>
      </c>
      <c r="I149" s="7">
        <f>H149/(180*0.714)</f>
        <v/>
      </c>
    </row>
    <row r="150">
      <c r="A150" s="4" t="inlineStr">
        <is>
          <t>SERV-10146</t>
        </is>
      </c>
      <c r="B150" s="5" t="inlineStr">
        <is>
          <t>Professor da Educação Básica (40h)</t>
        </is>
      </c>
      <c r="C150" s="4" t="inlineStr">
        <is>
          <t>Efetivo Concursado</t>
        </is>
      </c>
      <c r="D150" s="4" t="inlineStr">
        <is>
          <t>SEC-EDU</t>
        </is>
      </c>
      <c r="E150" s="6" t="n">
        <v>5619.04</v>
      </c>
      <c r="F150" s="6">
        <f>E150*0.22</f>
        <v/>
      </c>
      <c r="G150" s="6">
        <f>E150+F150</f>
        <v/>
      </c>
      <c r="H150" s="10" t="n">
        <v>2</v>
      </c>
      <c r="I150" s="7">
        <f>H150/(180*0.714)</f>
        <v/>
      </c>
    </row>
    <row r="151">
      <c r="A151" s="4" t="inlineStr">
        <is>
          <t>SERV-10147</t>
        </is>
      </c>
      <c r="B151" s="5" t="inlineStr">
        <is>
          <t>Professor da Educação Básica (40h)</t>
        </is>
      </c>
      <c r="C151" s="4" t="inlineStr">
        <is>
          <t>Efetivo Concursado</t>
        </is>
      </c>
      <c r="D151" s="4" t="inlineStr">
        <is>
          <t>SEC-EDU</t>
        </is>
      </c>
      <c r="E151" s="6" t="n">
        <v>4824.47</v>
      </c>
      <c r="F151" s="6">
        <f>E151*0.22</f>
        <v/>
      </c>
      <c r="G151" s="6">
        <f>E151+F151</f>
        <v/>
      </c>
      <c r="H151" s="10" t="n">
        <v>3</v>
      </c>
      <c r="I151" s="7">
        <f>H151/(180*0.714)</f>
        <v/>
      </c>
    </row>
    <row r="152">
      <c r="A152" s="4" t="inlineStr">
        <is>
          <t>SERV-10148</t>
        </is>
      </c>
      <c r="B152" s="5" t="inlineStr">
        <is>
          <t>Professor da Educação Básica (40h)</t>
        </is>
      </c>
      <c r="C152" s="4" t="inlineStr">
        <is>
          <t>Efetivo Concursado</t>
        </is>
      </c>
      <c r="D152" s="4" t="inlineStr">
        <is>
          <t>SEC-EDU</t>
        </is>
      </c>
      <c r="E152" s="6" t="n">
        <v>5137.65</v>
      </c>
      <c r="F152" s="6">
        <f>E152*0.22</f>
        <v/>
      </c>
      <c r="G152" s="6">
        <f>E152+F152</f>
        <v/>
      </c>
      <c r="H152" s="10" t="n">
        <v>5</v>
      </c>
      <c r="I152" s="7">
        <f>H152/(180*0.714)</f>
        <v/>
      </c>
    </row>
    <row r="153">
      <c r="A153" s="4" t="inlineStr">
        <is>
          <t>SERV-10149</t>
        </is>
      </c>
      <c r="B153" s="5" t="inlineStr">
        <is>
          <t>Professor da Educação Básica (40h)</t>
        </is>
      </c>
      <c r="C153" s="4" t="inlineStr">
        <is>
          <t>Efetivo Concursado</t>
        </is>
      </c>
      <c r="D153" s="4" t="inlineStr">
        <is>
          <t>SEC-EDU</t>
        </is>
      </c>
      <c r="E153" s="6" t="n">
        <v>5371.01</v>
      </c>
      <c r="F153" s="6">
        <f>E153*0.22</f>
        <v/>
      </c>
      <c r="G153" s="6">
        <f>E153+F153</f>
        <v/>
      </c>
      <c r="H153" s="10" t="n">
        <v>3</v>
      </c>
      <c r="I153" s="7">
        <f>H153/(180*0.714)</f>
        <v/>
      </c>
    </row>
    <row r="154">
      <c r="A154" s="4" t="inlineStr">
        <is>
          <t>SERV-10150</t>
        </is>
      </c>
      <c r="B154" s="5" t="inlineStr">
        <is>
          <t>Professor da Educação Básica (40h)</t>
        </is>
      </c>
      <c r="C154" s="4" t="inlineStr">
        <is>
          <t>Efetivo Concursado</t>
        </is>
      </c>
      <c r="D154" s="4" t="inlineStr">
        <is>
          <t>SEC-EDU</t>
        </is>
      </c>
      <c r="E154" s="6" t="n">
        <v>5588.87</v>
      </c>
      <c r="F154" s="6">
        <f>E154*0.22</f>
        <v/>
      </c>
      <c r="G154" s="6">
        <f>E154+F154</f>
        <v/>
      </c>
      <c r="H154" s="10" t="n">
        <v>3</v>
      </c>
      <c r="I154" s="7">
        <f>H154/(180*0.714)</f>
        <v/>
      </c>
    </row>
    <row r="155">
      <c r="A155" s="4" t="inlineStr">
        <is>
          <t>SERV-10151</t>
        </is>
      </c>
      <c r="B155" s="5" t="inlineStr">
        <is>
          <t>Professor da Educação Básica (40h)</t>
        </is>
      </c>
      <c r="C155" s="4" t="inlineStr">
        <is>
          <t>Efetivo Concursado</t>
        </is>
      </c>
      <c r="D155" s="4" t="inlineStr">
        <is>
          <t>SEC-EDU</t>
        </is>
      </c>
      <c r="E155" s="6" t="n">
        <v>5284.75</v>
      </c>
      <c r="F155" s="6">
        <f>E155*0.22</f>
        <v/>
      </c>
      <c r="G155" s="6">
        <f>E155+F155</f>
        <v/>
      </c>
      <c r="H155" s="10" t="n">
        <v>4</v>
      </c>
      <c r="I155" s="7">
        <f>H155/(180*0.714)</f>
        <v/>
      </c>
    </row>
    <row r="156">
      <c r="A156" s="4" t="inlineStr">
        <is>
          <t>SERV-10152</t>
        </is>
      </c>
      <c r="B156" s="5" t="inlineStr">
        <is>
          <t>Professor da Educação Básica (40h)</t>
        </is>
      </c>
      <c r="C156" s="4" t="inlineStr">
        <is>
          <t>Efetivo Concursado</t>
        </is>
      </c>
      <c r="D156" s="4" t="inlineStr">
        <is>
          <t>SEC-EDU</t>
        </is>
      </c>
      <c r="E156" s="6" t="n">
        <v>5561.85</v>
      </c>
      <c r="F156" s="6">
        <f>E156*0.22</f>
        <v/>
      </c>
      <c r="G156" s="6">
        <f>E156+F156</f>
        <v/>
      </c>
      <c r="H156" s="10" t="n">
        <v>2</v>
      </c>
      <c r="I156" s="7">
        <f>H156/(180*0.714)</f>
        <v/>
      </c>
    </row>
    <row r="157">
      <c r="A157" s="4" t="inlineStr">
        <is>
          <t>SERV-10153</t>
        </is>
      </c>
      <c r="B157" s="5" t="inlineStr">
        <is>
          <t>Professor da Educação Básica (40h)</t>
        </is>
      </c>
      <c r="C157" s="4" t="inlineStr">
        <is>
          <t>Efetivo Concursado</t>
        </is>
      </c>
      <c r="D157" s="4" t="inlineStr">
        <is>
          <t>SEC-EDU</t>
        </is>
      </c>
      <c r="E157" s="6" t="n">
        <v>5123.06</v>
      </c>
      <c r="F157" s="6">
        <f>E157*0.22</f>
        <v/>
      </c>
      <c r="G157" s="6">
        <f>E157+F157</f>
        <v/>
      </c>
      <c r="H157" s="10" t="n">
        <v>6</v>
      </c>
      <c r="I157" s="7">
        <f>H157/(180*0.714)</f>
        <v/>
      </c>
    </row>
    <row r="158">
      <c r="A158" s="4" t="inlineStr">
        <is>
          <t>SERV-10154</t>
        </is>
      </c>
      <c r="B158" s="5" t="inlineStr">
        <is>
          <t>Professor da Educação Básica (40h)</t>
        </is>
      </c>
      <c r="C158" s="4" t="inlineStr">
        <is>
          <t>Efetivo Concursado</t>
        </is>
      </c>
      <c r="D158" s="4" t="inlineStr">
        <is>
          <t>SEC-EDU</t>
        </is>
      </c>
      <c r="E158" s="6" t="n">
        <v>4846.05</v>
      </c>
      <c r="F158" s="6">
        <f>E158*0.22</f>
        <v/>
      </c>
      <c r="G158" s="6">
        <f>E158+F158</f>
        <v/>
      </c>
      <c r="H158" s="10" t="n">
        <v>2</v>
      </c>
      <c r="I158" s="7">
        <f>H158/(180*0.714)</f>
        <v/>
      </c>
    </row>
    <row r="159">
      <c r="A159" s="4" t="inlineStr">
        <is>
          <t>SERV-10155</t>
        </is>
      </c>
      <c r="B159" s="5" t="inlineStr">
        <is>
          <t>Professor da Educação Básica (40h)</t>
        </is>
      </c>
      <c r="C159" s="4" t="inlineStr">
        <is>
          <t>Efetivo Concursado</t>
        </is>
      </c>
      <c r="D159" s="4" t="inlineStr">
        <is>
          <t>SEC-EDU</t>
        </is>
      </c>
      <c r="E159" s="6" t="n">
        <v>5196.25</v>
      </c>
      <c r="F159" s="6">
        <f>E159*0.22</f>
        <v/>
      </c>
      <c r="G159" s="6">
        <f>E159+F159</f>
        <v/>
      </c>
      <c r="H159" s="10" t="n">
        <v>4</v>
      </c>
      <c r="I159" s="7">
        <f>H159/(180*0.714)</f>
        <v/>
      </c>
    </row>
    <row r="160">
      <c r="A160" s="4" t="inlineStr">
        <is>
          <t>SERV-10156</t>
        </is>
      </c>
      <c r="B160" s="5" t="inlineStr">
        <is>
          <t>Professor da Educação Básica (40h)</t>
        </is>
      </c>
      <c r="C160" s="4" t="inlineStr">
        <is>
          <t>Efetivo Concursado</t>
        </is>
      </c>
      <c r="D160" s="4" t="inlineStr">
        <is>
          <t>SEC-EDU</t>
        </is>
      </c>
      <c r="E160" s="6" t="n">
        <v>5178.55</v>
      </c>
      <c r="F160" s="6">
        <f>E160*0.22</f>
        <v/>
      </c>
      <c r="G160" s="6">
        <f>E160+F160</f>
        <v/>
      </c>
      <c r="H160" s="10" t="n">
        <v>6</v>
      </c>
      <c r="I160" s="7">
        <f>H160/(180*0.714)</f>
        <v/>
      </c>
    </row>
    <row r="161">
      <c r="A161" s="4" t="inlineStr">
        <is>
          <t>SERV-10157</t>
        </is>
      </c>
      <c r="B161" s="5" t="inlineStr">
        <is>
          <t>Professor da Educação Básica (40h)</t>
        </is>
      </c>
      <c r="C161" s="4" t="inlineStr">
        <is>
          <t>Efetivo Concursado</t>
        </is>
      </c>
      <c r="D161" s="4" t="inlineStr">
        <is>
          <t>SEC-EDU</t>
        </is>
      </c>
      <c r="E161" s="6" t="n">
        <v>5823.82</v>
      </c>
      <c r="F161" s="6">
        <f>E161*0.22</f>
        <v/>
      </c>
      <c r="G161" s="6">
        <f>E161+F161</f>
        <v/>
      </c>
      <c r="H161" s="10" t="n">
        <v>7</v>
      </c>
      <c r="I161" s="7">
        <f>H161/(180*0.714)</f>
        <v/>
      </c>
    </row>
    <row r="162">
      <c r="A162" s="4" t="inlineStr">
        <is>
          <t>SERV-10158</t>
        </is>
      </c>
      <c r="B162" s="5" t="inlineStr">
        <is>
          <t>Professor da Educação Básica (40h)</t>
        </is>
      </c>
      <c r="C162" s="4" t="inlineStr">
        <is>
          <t>Efetivo Concursado</t>
        </is>
      </c>
      <c r="D162" s="4" t="inlineStr">
        <is>
          <t>SEC-EDU</t>
        </is>
      </c>
      <c r="E162" s="6" t="n">
        <v>5503.74</v>
      </c>
      <c r="F162" s="6">
        <f>E162*0.22</f>
        <v/>
      </c>
      <c r="G162" s="6">
        <f>E162+F162</f>
        <v/>
      </c>
      <c r="H162" s="10" t="n">
        <v>7</v>
      </c>
      <c r="I162" s="7">
        <f>H162/(180*0.714)</f>
        <v/>
      </c>
    </row>
    <row r="163">
      <c r="A163" s="4" t="inlineStr">
        <is>
          <t>SERV-10159</t>
        </is>
      </c>
      <c r="B163" s="5" t="inlineStr">
        <is>
          <t>Professor da Educação Básica (40h)</t>
        </is>
      </c>
      <c r="C163" s="4" t="inlineStr">
        <is>
          <t>Efetivo Concursado</t>
        </is>
      </c>
      <c r="D163" s="4" t="inlineStr">
        <is>
          <t>SEC-EDU</t>
        </is>
      </c>
      <c r="E163" s="6" t="n">
        <v>5136.48</v>
      </c>
      <c r="F163" s="6">
        <f>E163*0.22</f>
        <v/>
      </c>
      <c r="G163" s="6">
        <f>E163+F163</f>
        <v/>
      </c>
      <c r="H163" s="10" t="n">
        <v>2</v>
      </c>
      <c r="I163" s="7">
        <f>H163/(180*0.714)</f>
        <v/>
      </c>
    </row>
    <row r="164">
      <c r="A164" s="4" t="inlineStr">
        <is>
          <t>SERV-10160</t>
        </is>
      </c>
      <c r="B164" s="5" t="inlineStr">
        <is>
          <t>Professor da Educação Básica (40h)</t>
        </is>
      </c>
      <c r="C164" s="4" t="inlineStr">
        <is>
          <t>Efetivo Concursado</t>
        </is>
      </c>
      <c r="D164" s="4" t="inlineStr">
        <is>
          <t>SEC-EDU</t>
        </is>
      </c>
      <c r="E164" s="6" t="n">
        <v>4833.89</v>
      </c>
      <c r="F164" s="6">
        <f>E164*0.22</f>
        <v/>
      </c>
      <c r="G164" s="6">
        <f>E164+F164</f>
        <v/>
      </c>
      <c r="H164" s="10" t="n">
        <v>7</v>
      </c>
      <c r="I164" s="7">
        <f>H164/(180*0.714)</f>
        <v/>
      </c>
    </row>
    <row r="165">
      <c r="A165" s="4" t="inlineStr">
        <is>
          <t>SERV-10161</t>
        </is>
      </c>
      <c r="B165" s="5" t="inlineStr">
        <is>
          <t>Professor da Educação Básica (40h)</t>
        </is>
      </c>
      <c r="C165" s="4" t="inlineStr">
        <is>
          <t>Efetivo Concursado</t>
        </is>
      </c>
      <c r="D165" s="4" t="inlineStr">
        <is>
          <t>SEC-EDU</t>
        </is>
      </c>
      <c r="E165" s="6" t="n">
        <v>5330.21</v>
      </c>
      <c r="F165" s="6">
        <f>E165*0.22</f>
        <v/>
      </c>
      <c r="G165" s="6">
        <f>E165+F165</f>
        <v/>
      </c>
      <c r="H165" s="10" t="n">
        <v>3</v>
      </c>
      <c r="I165" s="7">
        <f>H165/(180*0.714)</f>
        <v/>
      </c>
    </row>
    <row r="166">
      <c r="A166" s="4" t="inlineStr">
        <is>
          <t>SERV-10162</t>
        </is>
      </c>
      <c r="B166" s="5" t="inlineStr">
        <is>
          <t>Professor da Educação Básica (40h)</t>
        </is>
      </c>
      <c r="C166" s="4" t="inlineStr">
        <is>
          <t>Efetivo Concursado</t>
        </is>
      </c>
      <c r="D166" s="4" t="inlineStr">
        <is>
          <t>SEC-EDU</t>
        </is>
      </c>
      <c r="E166" s="6" t="n">
        <v>5607.69</v>
      </c>
      <c r="F166" s="6">
        <f>E166*0.22</f>
        <v/>
      </c>
      <c r="G166" s="6">
        <f>E166+F166</f>
        <v/>
      </c>
      <c r="H166" s="10" t="n">
        <v>2</v>
      </c>
      <c r="I166" s="7">
        <f>H166/(180*0.714)</f>
        <v/>
      </c>
    </row>
    <row r="167">
      <c r="A167" s="4" t="inlineStr">
        <is>
          <t>SERV-10163</t>
        </is>
      </c>
      <c r="B167" s="5" t="inlineStr">
        <is>
          <t>Professor da Educação Básica (40h)</t>
        </is>
      </c>
      <c r="C167" s="4" t="inlineStr">
        <is>
          <t>Efetivo Concursado</t>
        </is>
      </c>
      <c r="D167" s="4" t="inlineStr">
        <is>
          <t>SEC-EDU</t>
        </is>
      </c>
      <c r="E167" s="6" t="n">
        <v>5107.62</v>
      </c>
      <c r="F167" s="6">
        <f>E167*0.22</f>
        <v/>
      </c>
      <c r="G167" s="6">
        <f>E167+F167</f>
        <v/>
      </c>
      <c r="H167" s="10" t="n">
        <v>3</v>
      </c>
      <c r="I167" s="7">
        <f>H167/(180*0.714)</f>
        <v/>
      </c>
    </row>
    <row r="168">
      <c r="A168" s="4" t="inlineStr">
        <is>
          <t>SERV-10164</t>
        </is>
      </c>
      <c r="B168" s="5" t="inlineStr">
        <is>
          <t>Professor da Educação Básica (40h)</t>
        </is>
      </c>
      <c r="C168" s="4" t="inlineStr">
        <is>
          <t>Efetivo Concursado</t>
        </is>
      </c>
      <c r="D168" s="4" t="inlineStr">
        <is>
          <t>SEC-EDU</t>
        </is>
      </c>
      <c r="E168" s="6" t="n">
        <v>4932.25</v>
      </c>
      <c r="F168" s="6">
        <f>E168*0.22</f>
        <v/>
      </c>
      <c r="G168" s="6">
        <f>E168+F168</f>
        <v/>
      </c>
      <c r="H168" s="10" t="n">
        <v>2</v>
      </c>
      <c r="I168" s="7">
        <f>H168/(180*0.714)</f>
        <v/>
      </c>
    </row>
    <row r="169">
      <c r="A169" s="4" t="inlineStr">
        <is>
          <t>SERV-10165</t>
        </is>
      </c>
      <c r="B169" s="5" t="inlineStr">
        <is>
          <t>Professor da Educação Básica (40h)</t>
        </is>
      </c>
      <c r="C169" s="4" t="inlineStr">
        <is>
          <t>Efetivo Concursado</t>
        </is>
      </c>
      <c r="D169" s="4" t="inlineStr">
        <is>
          <t>SEC-EDU</t>
        </is>
      </c>
      <c r="E169" s="6" t="n">
        <v>4938.44</v>
      </c>
      <c r="F169" s="6">
        <f>E169*0.22</f>
        <v/>
      </c>
      <c r="G169" s="6">
        <f>E169+F169</f>
        <v/>
      </c>
      <c r="H169" s="10" t="n">
        <v>2</v>
      </c>
      <c r="I169" s="7">
        <f>H169/(180*0.714)</f>
        <v/>
      </c>
    </row>
    <row r="170">
      <c r="A170" s="4" t="inlineStr">
        <is>
          <t>SERV-10166</t>
        </is>
      </c>
      <c r="B170" s="5" t="inlineStr">
        <is>
          <t>Professor da Educação Básica (40h)</t>
        </is>
      </c>
      <c r="C170" s="4" t="inlineStr">
        <is>
          <t>Efetivo Concursado</t>
        </is>
      </c>
      <c r="D170" s="4" t="inlineStr">
        <is>
          <t>SEC-EDU</t>
        </is>
      </c>
      <c r="E170" s="6" t="n">
        <v>5097.01</v>
      </c>
      <c r="F170" s="6">
        <f>E170*0.22</f>
        <v/>
      </c>
      <c r="G170" s="6">
        <f>E170+F170</f>
        <v/>
      </c>
      <c r="H170" s="10" t="n">
        <v>6</v>
      </c>
      <c r="I170" s="7">
        <f>H170/(180*0.714)</f>
        <v/>
      </c>
    </row>
    <row r="171">
      <c r="A171" s="4" t="inlineStr">
        <is>
          <t>SERV-10167</t>
        </is>
      </c>
      <c r="B171" s="5" t="inlineStr">
        <is>
          <t>Professor da Educação Básica (40h)</t>
        </is>
      </c>
      <c r="C171" s="4" t="inlineStr">
        <is>
          <t>Efetivo Concursado</t>
        </is>
      </c>
      <c r="D171" s="4" t="inlineStr">
        <is>
          <t>SEC-EDU</t>
        </is>
      </c>
      <c r="E171" s="6" t="n">
        <v>5744</v>
      </c>
      <c r="F171" s="6">
        <f>E171*0.22</f>
        <v/>
      </c>
      <c r="G171" s="6">
        <f>E171+F171</f>
        <v/>
      </c>
      <c r="H171" s="10" t="n">
        <v>4</v>
      </c>
      <c r="I171" s="7">
        <f>H171/(180*0.714)</f>
        <v/>
      </c>
    </row>
    <row r="172">
      <c r="A172" s="4" t="inlineStr">
        <is>
          <t>SERV-10168</t>
        </is>
      </c>
      <c r="B172" s="5" t="inlineStr">
        <is>
          <t>Professor da Educação Básica (40h)</t>
        </is>
      </c>
      <c r="C172" s="4" t="inlineStr">
        <is>
          <t>Efetivo Concursado</t>
        </is>
      </c>
      <c r="D172" s="4" t="inlineStr">
        <is>
          <t>SEC-EDU</t>
        </is>
      </c>
      <c r="E172" s="6" t="n">
        <v>4901.55</v>
      </c>
      <c r="F172" s="6">
        <f>E172*0.22</f>
        <v/>
      </c>
      <c r="G172" s="6">
        <f>E172+F172</f>
        <v/>
      </c>
      <c r="H172" s="10" t="n">
        <v>2</v>
      </c>
      <c r="I172" s="7">
        <f>H172/(180*0.714)</f>
        <v/>
      </c>
    </row>
    <row r="173">
      <c r="A173" s="4" t="inlineStr">
        <is>
          <t>SERV-10169</t>
        </is>
      </c>
      <c r="B173" s="5" t="inlineStr">
        <is>
          <t>Professor da Educação Básica (40h)</t>
        </is>
      </c>
      <c r="C173" s="4" t="inlineStr">
        <is>
          <t>Efetivo Concursado</t>
        </is>
      </c>
      <c r="D173" s="4" t="inlineStr">
        <is>
          <t>SEC-EDU</t>
        </is>
      </c>
      <c r="E173" s="6" t="n">
        <v>5185.56</v>
      </c>
      <c r="F173" s="6">
        <f>E173*0.22</f>
        <v/>
      </c>
      <c r="G173" s="6">
        <f>E173+F173</f>
        <v/>
      </c>
      <c r="H173" s="10" t="n">
        <v>6</v>
      </c>
      <c r="I173" s="7">
        <f>H173/(180*0.714)</f>
        <v/>
      </c>
    </row>
    <row r="174">
      <c r="A174" s="4" t="inlineStr">
        <is>
          <t>SERV-10170</t>
        </is>
      </c>
      <c r="B174" s="5" t="inlineStr">
        <is>
          <t>Professor da Educação Básica (40h)</t>
        </is>
      </c>
      <c r="C174" s="4" t="inlineStr">
        <is>
          <t>Efetivo Concursado</t>
        </is>
      </c>
      <c r="D174" s="4" t="inlineStr">
        <is>
          <t>SEC-EDU</t>
        </is>
      </c>
      <c r="E174" s="6" t="n">
        <v>5776.8</v>
      </c>
      <c r="F174" s="6">
        <f>E174*0.22</f>
        <v/>
      </c>
      <c r="G174" s="6">
        <f>E174+F174</f>
        <v/>
      </c>
      <c r="H174" s="10" t="n">
        <v>7</v>
      </c>
      <c r="I174" s="7">
        <f>H174/(180*0.714)</f>
        <v/>
      </c>
    </row>
    <row r="175">
      <c r="A175" s="4" t="inlineStr">
        <is>
          <t>SERV-10171</t>
        </is>
      </c>
      <c r="B175" s="5" t="inlineStr">
        <is>
          <t>Professor da Educação Básica (40h)</t>
        </is>
      </c>
      <c r="C175" s="4" t="inlineStr">
        <is>
          <t>Efetivo Concursado</t>
        </is>
      </c>
      <c r="D175" s="4" t="inlineStr">
        <is>
          <t>SEC-EDU</t>
        </is>
      </c>
      <c r="E175" s="6" t="n">
        <v>5239.73</v>
      </c>
      <c r="F175" s="6">
        <f>E175*0.22</f>
        <v/>
      </c>
      <c r="G175" s="6">
        <f>E175+F175</f>
        <v/>
      </c>
      <c r="H175" s="10" t="n">
        <v>4</v>
      </c>
      <c r="I175" s="7">
        <f>H175/(180*0.714)</f>
        <v/>
      </c>
    </row>
    <row r="176">
      <c r="A176" s="4" t="inlineStr">
        <is>
          <t>SERV-10172</t>
        </is>
      </c>
      <c r="B176" s="5" t="inlineStr">
        <is>
          <t>Professor da Educação Básica (40h)</t>
        </is>
      </c>
      <c r="C176" s="4" t="inlineStr">
        <is>
          <t>Efetivo Concursado</t>
        </is>
      </c>
      <c r="D176" s="4" t="inlineStr">
        <is>
          <t>SEC-EDU</t>
        </is>
      </c>
      <c r="E176" s="6" t="n">
        <v>5093.07</v>
      </c>
      <c r="F176" s="6">
        <f>E176*0.22</f>
        <v/>
      </c>
      <c r="G176" s="6">
        <f>E176+F176</f>
        <v/>
      </c>
      <c r="H176" s="10" t="n">
        <v>6</v>
      </c>
      <c r="I176" s="7">
        <f>H176/(180*0.714)</f>
        <v/>
      </c>
    </row>
    <row r="177">
      <c r="A177" s="4" t="inlineStr">
        <is>
          <t>SERV-10173</t>
        </is>
      </c>
      <c r="B177" s="5" t="inlineStr">
        <is>
          <t>Professor da Educação Básica (40h)</t>
        </is>
      </c>
      <c r="C177" s="4" t="inlineStr">
        <is>
          <t>Efetivo Concursado</t>
        </is>
      </c>
      <c r="D177" s="4" t="inlineStr">
        <is>
          <t>SEC-EDU</t>
        </is>
      </c>
      <c r="E177" s="6" t="n">
        <v>5173.48</v>
      </c>
      <c r="F177" s="6">
        <f>E177*0.22</f>
        <v/>
      </c>
      <c r="G177" s="6">
        <f>E177+F177</f>
        <v/>
      </c>
      <c r="H177" s="10" t="n">
        <v>6</v>
      </c>
      <c r="I177" s="7">
        <f>H177/(180*0.714)</f>
        <v/>
      </c>
    </row>
    <row r="178">
      <c r="A178" s="4" t="inlineStr">
        <is>
          <t>SERV-10174</t>
        </is>
      </c>
      <c r="B178" s="5" t="inlineStr">
        <is>
          <t>Professor da Educação Básica (40h)</t>
        </is>
      </c>
      <c r="C178" s="4" t="inlineStr">
        <is>
          <t>Efetivo Concursado</t>
        </is>
      </c>
      <c r="D178" s="4" t="inlineStr">
        <is>
          <t>SEC-EDU</t>
        </is>
      </c>
      <c r="E178" s="6" t="n">
        <v>4863.2</v>
      </c>
      <c r="F178" s="6">
        <f>E178*0.22</f>
        <v/>
      </c>
      <c r="G178" s="6">
        <f>E178+F178</f>
        <v/>
      </c>
      <c r="H178" s="10" t="n">
        <v>3</v>
      </c>
      <c r="I178" s="7">
        <f>H178/(180*0.714)</f>
        <v/>
      </c>
    </row>
    <row r="179">
      <c r="A179" s="4" t="inlineStr">
        <is>
          <t>SERV-10175</t>
        </is>
      </c>
      <c r="B179" s="5" t="inlineStr">
        <is>
          <t>Professor da Educação Básica (40h)</t>
        </is>
      </c>
      <c r="C179" s="4" t="inlineStr">
        <is>
          <t>Efetivo Concursado</t>
        </is>
      </c>
      <c r="D179" s="4" t="inlineStr">
        <is>
          <t>SEC-EDU</t>
        </is>
      </c>
      <c r="E179" s="6" t="n">
        <v>5302.2</v>
      </c>
      <c r="F179" s="6">
        <f>E179*0.22</f>
        <v/>
      </c>
      <c r="G179" s="6">
        <f>E179+F179</f>
        <v/>
      </c>
      <c r="H179" s="10" t="n">
        <v>4</v>
      </c>
      <c r="I179" s="7">
        <f>H179/(180*0.714)</f>
        <v/>
      </c>
    </row>
    <row r="180">
      <c r="A180" s="4" t="inlineStr">
        <is>
          <t>SERV-10176</t>
        </is>
      </c>
      <c r="B180" s="5" t="inlineStr">
        <is>
          <t>Professor da Educação Básica (40h)</t>
        </is>
      </c>
      <c r="C180" s="4" t="inlineStr">
        <is>
          <t>Efetivo Concursado</t>
        </is>
      </c>
      <c r="D180" s="4" t="inlineStr">
        <is>
          <t>SEC-EDU</t>
        </is>
      </c>
      <c r="E180" s="6" t="n">
        <v>5309.18</v>
      </c>
      <c r="F180" s="6">
        <f>E180*0.22</f>
        <v/>
      </c>
      <c r="G180" s="6">
        <f>E180+F180</f>
        <v/>
      </c>
      <c r="H180" s="10" t="n">
        <v>6</v>
      </c>
      <c r="I180" s="7">
        <f>H180/(180*0.714)</f>
        <v/>
      </c>
    </row>
    <row r="181">
      <c r="A181" s="4" t="inlineStr">
        <is>
          <t>SERV-10177</t>
        </is>
      </c>
      <c r="B181" s="5" t="inlineStr">
        <is>
          <t>Professor da Educação Básica (40h)</t>
        </is>
      </c>
      <c r="C181" s="4" t="inlineStr">
        <is>
          <t>Efetivo Concursado</t>
        </is>
      </c>
      <c r="D181" s="4" t="inlineStr">
        <is>
          <t>SEC-EDU</t>
        </is>
      </c>
      <c r="E181" s="6" t="n">
        <v>4845.95</v>
      </c>
      <c r="F181" s="6">
        <f>E181*0.22</f>
        <v/>
      </c>
      <c r="G181" s="6">
        <f>E181+F181</f>
        <v/>
      </c>
      <c r="H181" s="10" t="n">
        <v>5</v>
      </c>
      <c r="I181" s="7">
        <f>H181/(180*0.714)</f>
        <v/>
      </c>
    </row>
    <row r="182">
      <c r="A182" s="4" t="inlineStr">
        <is>
          <t>SERV-10178</t>
        </is>
      </c>
      <c r="B182" s="5" t="inlineStr">
        <is>
          <t>Professor da Educação Básica (40h)</t>
        </is>
      </c>
      <c r="C182" s="4" t="inlineStr">
        <is>
          <t>Efetivo Concursado</t>
        </is>
      </c>
      <c r="D182" s="4" t="inlineStr">
        <is>
          <t>SEC-EDU</t>
        </is>
      </c>
      <c r="E182" s="6" t="n">
        <v>5184.57</v>
      </c>
      <c r="F182" s="6">
        <f>E182*0.22</f>
        <v/>
      </c>
      <c r="G182" s="6">
        <f>E182+F182</f>
        <v/>
      </c>
      <c r="H182" s="10" t="n">
        <v>5</v>
      </c>
      <c r="I182" s="7">
        <f>H182/(180*0.714)</f>
        <v/>
      </c>
    </row>
    <row r="183">
      <c r="A183" s="4" t="inlineStr">
        <is>
          <t>SERV-10179</t>
        </is>
      </c>
      <c r="B183" s="5" t="inlineStr">
        <is>
          <t>Professor da Educação Básica (40h)</t>
        </is>
      </c>
      <c r="C183" s="4" t="inlineStr">
        <is>
          <t>Efetivo Concursado</t>
        </is>
      </c>
      <c r="D183" s="4" t="inlineStr">
        <is>
          <t>SEC-EDU</t>
        </is>
      </c>
      <c r="E183" s="6" t="n">
        <v>5235.07</v>
      </c>
      <c r="F183" s="6">
        <f>E183*0.22</f>
        <v/>
      </c>
      <c r="G183" s="6">
        <f>E183+F183</f>
        <v/>
      </c>
      <c r="H183" s="10" t="n">
        <v>3</v>
      </c>
      <c r="I183" s="7">
        <f>H183/(180*0.714)</f>
        <v/>
      </c>
    </row>
    <row r="184">
      <c r="A184" s="4" t="inlineStr">
        <is>
          <t>SERV-10180</t>
        </is>
      </c>
      <c r="B184" s="5" t="inlineStr">
        <is>
          <t>Professor da Educação Básica (40h)</t>
        </is>
      </c>
      <c r="C184" s="4" t="inlineStr">
        <is>
          <t>Efetivo Concursado</t>
        </is>
      </c>
      <c r="D184" s="4" t="inlineStr">
        <is>
          <t>SEC-EDU</t>
        </is>
      </c>
      <c r="E184" s="6" t="n">
        <v>5726.5</v>
      </c>
      <c r="F184" s="6">
        <f>E184*0.22</f>
        <v/>
      </c>
      <c r="G184" s="6">
        <f>E184+F184</f>
        <v/>
      </c>
      <c r="H184" s="10" t="n">
        <v>4</v>
      </c>
      <c r="I184" s="7">
        <f>H184/(180*0.714)</f>
        <v/>
      </c>
    </row>
    <row r="185">
      <c r="A185" s="4" t="inlineStr">
        <is>
          <t>SERV-10181</t>
        </is>
      </c>
      <c r="B185" s="5" t="inlineStr">
        <is>
          <t>Professor da Educação Básica (40h)</t>
        </is>
      </c>
      <c r="C185" s="4" t="inlineStr">
        <is>
          <t>Efetivo Concursado</t>
        </is>
      </c>
      <c r="D185" s="4" t="inlineStr">
        <is>
          <t>SEC-EDU</t>
        </is>
      </c>
      <c r="E185" s="6" t="n">
        <v>4786.57</v>
      </c>
      <c r="F185" s="6">
        <f>E185*0.22</f>
        <v/>
      </c>
      <c r="G185" s="6">
        <f>E185+F185</f>
        <v/>
      </c>
      <c r="H185" s="10" t="n">
        <v>2</v>
      </c>
      <c r="I185" s="7">
        <f>H185/(180*0.714)</f>
        <v/>
      </c>
    </row>
    <row r="186">
      <c r="A186" s="4" t="inlineStr">
        <is>
          <t>SERV-10182</t>
        </is>
      </c>
      <c r="B186" s="5" t="inlineStr">
        <is>
          <t>Professor da Educação Básica (40h)</t>
        </is>
      </c>
      <c r="C186" s="4" t="inlineStr">
        <is>
          <t>Efetivo Concursado</t>
        </is>
      </c>
      <c r="D186" s="4" t="inlineStr">
        <is>
          <t>SEC-EDU</t>
        </is>
      </c>
      <c r="E186" s="6" t="n">
        <v>5543.92</v>
      </c>
      <c r="F186" s="6">
        <f>E186*0.22</f>
        <v/>
      </c>
      <c r="G186" s="6">
        <f>E186+F186</f>
        <v/>
      </c>
      <c r="H186" s="10" t="n">
        <v>3</v>
      </c>
      <c r="I186" s="7">
        <f>H186/(180*0.714)</f>
        <v/>
      </c>
    </row>
    <row r="187">
      <c r="A187" s="4" t="inlineStr">
        <is>
          <t>SERV-10183</t>
        </is>
      </c>
      <c r="B187" s="5" t="inlineStr">
        <is>
          <t>Professor da Educação Básica (40h)</t>
        </is>
      </c>
      <c r="C187" s="4" t="inlineStr">
        <is>
          <t>Efetivo Concursado</t>
        </is>
      </c>
      <c r="D187" s="4" t="inlineStr">
        <is>
          <t>SEC-EDU</t>
        </is>
      </c>
      <c r="E187" s="6" t="n">
        <v>5577.53</v>
      </c>
      <c r="F187" s="6">
        <f>E187*0.22</f>
        <v/>
      </c>
      <c r="G187" s="6">
        <f>E187+F187</f>
        <v/>
      </c>
      <c r="H187" s="10" t="n">
        <v>3</v>
      </c>
      <c r="I187" s="7">
        <f>H187/(180*0.714)</f>
        <v/>
      </c>
    </row>
    <row r="188">
      <c r="A188" s="4" t="inlineStr">
        <is>
          <t>SERV-10184</t>
        </is>
      </c>
      <c r="B188" s="5" t="inlineStr">
        <is>
          <t>Professor da Educação Básica (40h)</t>
        </is>
      </c>
      <c r="C188" s="4" t="inlineStr">
        <is>
          <t>Efetivo Concursado</t>
        </is>
      </c>
      <c r="D188" s="4" t="inlineStr">
        <is>
          <t>SEC-EDU</t>
        </is>
      </c>
      <c r="E188" s="6" t="n">
        <v>5173.87</v>
      </c>
      <c r="F188" s="6">
        <f>E188*0.22</f>
        <v/>
      </c>
      <c r="G188" s="6">
        <f>E188+F188</f>
        <v/>
      </c>
      <c r="H188" s="10" t="n">
        <v>2</v>
      </c>
      <c r="I188" s="7">
        <f>H188/(180*0.714)</f>
        <v/>
      </c>
    </row>
    <row r="189">
      <c r="A189" s="4" t="inlineStr">
        <is>
          <t>SERV-10185</t>
        </is>
      </c>
      <c r="B189" s="5" t="inlineStr">
        <is>
          <t>Professor da Educação Básica (40h)</t>
        </is>
      </c>
      <c r="C189" s="4" t="inlineStr">
        <is>
          <t>Efetivo Concursado</t>
        </is>
      </c>
      <c r="D189" s="4" t="inlineStr">
        <is>
          <t>SEC-EDU</t>
        </is>
      </c>
      <c r="E189" s="6" t="n">
        <v>4875.79</v>
      </c>
      <c r="F189" s="6">
        <f>E189*0.22</f>
        <v/>
      </c>
      <c r="G189" s="6">
        <f>E189+F189</f>
        <v/>
      </c>
      <c r="H189" s="10" t="n">
        <v>3</v>
      </c>
      <c r="I189" s="7">
        <f>H189/(180*0.714)</f>
        <v/>
      </c>
    </row>
    <row r="190">
      <c r="A190" s="4" t="inlineStr">
        <is>
          <t>SERV-10186</t>
        </is>
      </c>
      <c r="B190" s="5" t="inlineStr">
        <is>
          <t>Professor da Educação Básica (40h)</t>
        </is>
      </c>
      <c r="C190" s="4" t="inlineStr">
        <is>
          <t>Efetivo Concursado</t>
        </is>
      </c>
      <c r="D190" s="4" t="inlineStr">
        <is>
          <t>SEC-EDU</t>
        </is>
      </c>
      <c r="E190" s="6" t="n">
        <v>5514.29</v>
      </c>
      <c r="F190" s="6">
        <f>E190*0.22</f>
        <v/>
      </c>
      <c r="G190" s="6">
        <f>E190+F190</f>
        <v/>
      </c>
      <c r="H190" s="10" t="n">
        <v>5</v>
      </c>
      <c r="I190" s="7">
        <f>H190/(180*0.714)</f>
        <v/>
      </c>
    </row>
    <row r="191">
      <c r="A191" s="4" t="inlineStr">
        <is>
          <t>SERV-10187</t>
        </is>
      </c>
      <c r="B191" s="5" t="inlineStr">
        <is>
          <t>Professor da Educação Básica (40h)</t>
        </is>
      </c>
      <c r="C191" s="4" t="inlineStr">
        <is>
          <t>Efetivo Concursado</t>
        </is>
      </c>
      <c r="D191" s="4" t="inlineStr">
        <is>
          <t>SEC-EDU</t>
        </is>
      </c>
      <c r="E191" s="6" t="n">
        <v>5033.66</v>
      </c>
      <c r="F191" s="6">
        <f>E191*0.22</f>
        <v/>
      </c>
      <c r="G191" s="6">
        <f>E191+F191</f>
        <v/>
      </c>
      <c r="H191" s="10" t="n">
        <v>5</v>
      </c>
      <c r="I191" s="7">
        <f>H191/(180*0.714)</f>
        <v/>
      </c>
    </row>
    <row r="192">
      <c r="A192" s="4" t="inlineStr">
        <is>
          <t>SERV-10188</t>
        </is>
      </c>
      <c r="B192" s="5" t="inlineStr">
        <is>
          <t>Professor da Educação Básica (40h)</t>
        </is>
      </c>
      <c r="C192" s="4" t="inlineStr">
        <is>
          <t>Efetivo Concursado</t>
        </is>
      </c>
      <c r="D192" s="4" t="inlineStr">
        <is>
          <t>SEC-EDU</t>
        </is>
      </c>
      <c r="E192" s="6" t="n">
        <v>5370.62</v>
      </c>
      <c r="F192" s="6">
        <f>E192*0.22</f>
        <v/>
      </c>
      <c r="G192" s="6">
        <f>E192+F192</f>
        <v/>
      </c>
      <c r="H192" s="10" t="n">
        <v>3</v>
      </c>
      <c r="I192" s="7">
        <f>H192/(180*0.714)</f>
        <v/>
      </c>
    </row>
    <row r="193">
      <c r="A193" s="4" t="inlineStr">
        <is>
          <t>SERV-10189</t>
        </is>
      </c>
      <c r="B193" s="5" t="inlineStr">
        <is>
          <t>Professor da Educação Básica (40h)</t>
        </is>
      </c>
      <c r="C193" s="4" t="inlineStr">
        <is>
          <t>Efetivo Concursado</t>
        </is>
      </c>
      <c r="D193" s="4" t="inlineStr">
        <is>
          <t>SEC-EDU</t>
        </is>
      </c>
      <c r="E193" s="6" t="n">
        <v>5472.58</v>
      </c>
      <c r="F193" s="6">
        <f>E193*0.22</f>
        <v/>
      </c>
      <c r="G193" s="6">
        <f>E193+F193</f>
        <v/>
      </c>
      <c r="H193" s="10" t="n">
        <v>6</v>
      </c>
      <c r="I193" s="7">
        <f>H193/(180*0.714)</f>
        <v/>
      </c>
    </row>
    <row r="194">
      <c r="A194" s="4" t="inlineStr">
        <is>
          <t>SERV-10190</t>
        </is>
      </c>
      <c r="B194" s="5" t="inlineStr">
        <is>
          <t>Professor da Educação Básica (40h)</t>
        </is>
      </c>
      <c r="C194" s="4" t="inlineStr">
        <is>
          <t>Efetivo Concursado</t>
        </is>
      </c>
      <c r="D194" s="4" t="inlineStr">
        <is>
          <t>SEC-EDU</t>
        </is>
      </c>
      <c r="E194" s="6" t="n">
        <v>4879.77</v>
      </c>
      <c r="F194" s="6">
        <f>E194*0.22</f>
        <v/>
      </c>
      <c r="G194" s="6">
        <f>E194+F194</f>
        <v/>
      </c>
      <c r="H194" s="10" t="n">
        <v>4</v>
      </c>
      <c r="I194" s="7">
        <f>H194/(180*0.714)</f>
        <v/>
      </c>
    </row>
    <row r="195">
      <c r="A195" s="4" t="inlineStr">
        <is>
          <t>SERV-10191</t>
        </is>
      </c>
      <c r="B195" s="5" t="inlineStr">
        <is>
          <t>Professor da Educação Básica (40h)</t>
        </is>
      </c>
      <c r="C195" s="4" t="inlineStr">
        <is>
          <t>Efetivo Concursado</t>
        </is>
      </c>
      <c r="D195" s="4" t="inlineStr">
        <is>
          <t>SEC-EDU</t>
        </is>
      </c>
      <c r="E195" s="6" t="n">
        <v>4876.16</v>
      </c>
      <c r="F195" s="6">
        <f>E195*0.22</f>
        <v/>
      </c>
      <c r="G195" s="6">
        <f>E195+F195</f>
        <v/>
      </c>
      <c r="H195" s="10" t="n">
        <v>2</v>
      </c>
      <c r="I195" s="7">
        <f>H195/(180*0.714)</f>
        <v/>
      </c>
    </row>
    <row r="196">
      <c r="A196" s="4" t="inlineStr">
        <is>
          <t>SERV-10192</t>
        </is>
      </c>
      <c r="B196" s="5" t="inlineStr">
        <is>
          <t>Professor da Educação Básica (40h)</t>
        </is>
      </c>
      <c r="C196" s="4" t="inlineStr">
        <is>
          <t>Efetivo Concursado</t>
        </is>
      </c>
      <c r="D196" s="4" t="inlineStr">
        <is>
          <t>SEC-EDU</t>
        </is>
      </c>
      <c r="E196" s="6" t="n">
        <v>4961.13</v>
      </c>
      <c r="F196" s="6">
        <f>E196*0.22</f>
        <v/>
      </c>
      <c r="G196" s="6">
        <f>E196+F196</f>
        <v/>
      </c>
      <c r="H196" s="10" t="n">
        <v>3</v>
      </c>
      <c r="I196" s="7">
        <f>H196/(180*0.714)</f>
        <v/>
      </c>
    </row>
    <row r="197">
      <c r="A197" s="4" t="inlineStr">
        <is>
          <t>SERV-10193</t>
        </is>
      </c>
      <c r="B197" s="5" t="inlineStr">
        <is>
          <t>Professor da Educação Básica (40h)</t>
        </is>
      </c>
      <c r="C197" s="4" t="inlineStr">
        <is>
          <t>Efetivo Concursado</t>
        </is>
      </c>
      <c r="D197" s="4" t="inlineStr">
        <is>
          <t>SEC-EDU</t>
        </is>
      </c>
      <c r="E197" s="6" t="n">
        <v>5713.23</v>
      </c>
      <c r="F197" s="6">
        <f>E197*0.22</f>
        <v/>
      </c>
      <c r="G197" s="6">
        <f>E197+F197</f>
        <v/>
      </c>
      <c r="H197" s="10" t="n">
        <v>7</v>
      </c>
      <c r="I197" s="7">
        <f>H197/(180*0.714)</f>
        <v/>
      </c>
    </row>
    <row r="198">
      <c r="A198" s="4" t="inlineStr">
        <is>
          <t>SERV-10194</t>
        </is>
      </c>
      <c r="B198" s="5" t="inlineStr">
        <is>
          <t>Professor da Educação Básica (40h)</t>
        </is>
      </c>
      <c r="C198" s="4" t="inlineStr">
        <is>
          <t>Efetivo Concursado</t>
        </is>
      </c>
      <c r="D198" s="4" t="inlineStr">
        <is>
          <t>SEC-EDU</t>
        </is>
      </c>
      <c r="E198" s="6" t="n">
        <v>5183.5</v>
      </c>
      <c r="F198" s="6">
        <f>E198*0.22</f>
        <v/>
      </c>
      <c r="G198" s="6">
        <f>E198+F198</f>
        <v/>
      </c>
      <c r="H198" s="10" t="n">
        <v>2</v>
      </c>
      <c r="I198" s="7">
        <f>H198/(180*0.714)</f>
        <v/>
      </c>
    </row>
    <row r="199">
      <c r="A199" s="4" t="inlineStr">
        <is>
          <t>SERV-10195</t>
        </is>
      </c>
      <c r="B199" s="5" t="inlineStr">
        <is>
          <t>Professor da Educação Básica (40h)</t>
        </is>
      </c>
      <c r="C199" s="4" t="inlineStr">
        <is>
          <t>Efetivo Concursado</t>
        </is>
      </c>
      <c r="D199" s="4" t="inlineStr">
        <is>
          <t>SEC-EDU</t>
        </is>
      </c>
      <c r="E199" s="6" t="n">
        <v>4856.19</v>
      </c>
      <c r="F199" s="6">
        <f>E199*0.22</f>
        <v/>
      </c>
      <c r="G199" s="6">
        <f>E199+F199</f>
        <v/>
      </c>
      <c r="H199" s="10" t="n">
        <v>5</v>
      </c>
      <c r="I199" s="7">
        <f>H199/(180*0.714)</f>
        <v/>
      </c>
    </row>
    <row r="200">
      <c r="A200" s="4" t="inlineStr">
        <is>
          <t>SERV-10196</t>
        </is>
      </c>
      <c r="B200" s="5" t="inlineStr">
        <is>
          <t>Professor da Educação Básica (40h)</t>
        </is>
      </c>
      <c r="C200" s="4" t="inlineStr">
        <is>
          <t>Efetivo Concursado</t>
        </is>
      </c>
      <c r="D200" s="4" t="inlineStr">
        <is>
          <t>SEC-EDU</t>
        </is>
      </c>
      <c r="E200" s="6" t="n">
        <v>5527.12</v>
      </c>
      <c r="F200" s="6">
        <f>E200*0.22</f>
        <v/>
      </c>
      <c r="G200" s="6">
        <f>E200+F200</f>
        <v/>
      </c>
      <c r="H200" s="10" t="n">
        <v>6</v>
      </c>
      <c r="I200" s="7">
        <f>H200/(180*0.714)</f>
        <v/>
      </c>
    </row>
    <row r="201">
      <c r="A201" s="4" t="inlineStr">
        <is>
          <t>SERV-10197</t>
        </is>
      </c>
      <c r="B201" s="5" t="inlineStr">
        <is>
          <t>Professor da Educação Básica (40h)</t>
        </is>
      </c>
      <c r="C201" s="4" t="inlineStr">
        <is>
          <t>Efetivo Concursado</t>
        </is>
      </c>
      <c r="D201" s="4" t="inlineStr">
        <is>
          <t>SEC-EDU</t>
        </is>
      </c>
      <c r="E201" s="6" t="n">
        <v>4788.14</v>
      </c>
      <c r="F201" s="6">
        <f>E201*0.22</f>
        <v/>
      </c>
      <c r="G201" s="6">
        <f>E201+F201</f>
        <v/>
      </c>
      <c r="H201" s="10" t="n">
        <v>2</v>
      </c>
      <c r="I201" s="7">
        <f>H201/(180*0.714)</f>
        <v/>
      </c>
    </row>
    <row r="202">
      <c r="A202" s="4" t="inlineStr">
        <is>
          <t>SERV-10198</t>
        </is>
      </c>
      <c r="B202" s="5" t="inlineStr">
        <is>
          <t>Professor da Educação Básica (40h)</t>
        </is>
      </c>
      <c r="C202" s="4" t="inlineStr">
        <is>
          <t>Efetivo Concursado</t>
        </is>
      </c>
      <c r="D202" s="4" t="inlineStr">
        <is>
          <t>SEC-EDU</t>
        </is>
      </c>
      <c r="E202" s="6" t="n">
        <v>5068.89</v>
      </c>
      <c r="F202" s="6">
        <f>E202*0.22</f>
        <v/>
      </c>
      <c r="G202" s="6">
        <f>E202+F202</f>
        <v/>
      </c>
      <c r="H202" s="10" t="n">
        <v>6</v>
      </c>
      <c r="I202" s="7">
        <f>H202/(180*0.714)</f>
        <v/>
      </c>
    </row>
    <row r="203">
      <c r="A203" s="4" t="inlineStr">
        <is>
          <t>SERV-10199</t>
        </is>
      </c>
      <c r="B203" s="5" t="inlineStr">
        <is>
          <t>Professor da Educação Básica (40h)</t>
        </is>
      </c>
      <c r="C203" s="4" t="inlineStr">
        <is>
          <t>Efetivo Concursado</t>
        </is>
      </c>
      <c r="D203" s="4" t="inlineStr">
        <is>
          <t>SEC-EDU</t>
        </is>
      </c>
      <c r="E203" s="6" t="n">
        <v>5233.08</v>
      </c>
      <c r="F203" s="6">
        <f>E203*0.22</f>
        <v/>
      </c>
      <c r="G203" s="6">
        <f>E203+F203</f>
        <v/>
      </c>
      <c r="H203" s="10" t="n">
        <v>4</v>
      </c>
      <c r="I203" s="7">
        <f>H203/(180*0.714)</f>
        <v/>
      </c>
    </row>
    <row r="204">
      <c r="A204" s="4" t="inlineStr">
        <is>
          <t>SERV-10200</t>
        </is>
      </c>
      <c r="B204" s="5" t="inlineStr">
        <is>
          <t>Professor da Educação Básica (40h)</t>
        </is>
      </c>
      <c r="C204" s="4" t="inlineStr">
        <is>
          <t>Efetivo Concursado</t>
        </is>
      </c>
      <c r="D204" s="4" t="inlineStr">
        <is>
          <t>SEC-EDU</t>
        </is>
      </c>
      <c r="E204" s="6" t="n">
        <v>5687.19</v>
      </c>
      <c r="F204" s="6">
        <f>E204*0.22</f>
        <v/>
      </c>
      <c r="G204" s="6">
        <f>E204+F204</f>
        <v/>
      </c>
      <c r="H204" s="10" t="n">
        <v>7</v>
      </c>
      <c r="I204" s="7">
        <f>H204/(180*0.714)</f>
        <v/>
      </c>
    </row>
    <row r="205">
      <c r="A205" s="4" t="inlineStr">
        <is>
          <t>SERV-10201</t>
        </is>
      </c>
      <c r="B205" s="5" t="inlineStr">
        <is>
          <t>Professor da Educação Básica (40h)</t>
        </is>
      </c>
      <c r="C205" s="4" t="inlineStr">
        <is>
          <t>Efetivo Concursado</t>
        </is>
      </c>
      <c r="D205" s="4" t="inlineStr">
        <is>
          <t>SEC-EDU</t>
        </is>
      </c>
      <c r="E205" s="6" t="n">
        <v>5577.65</v>
      </c>
      <c r="F205" s="6">
        <f>E205*0.22</f>
        <v/>
      </c>
      <c r="G205" s="6">
        <f>E205+F205</f>
        <v/>
      </c>
      <c r="H205" s="10" t="n">
        <v>3</v>
      </c>
      <c r="I205" s="7">
        <f>H205/(180*0.714)</f>
        <v/>
      </c>
    </row>
    <row r="206">
      <c r="A206" s="4" t="inlineStr">
        <is>
          <t>SERV-10202</t>
        </is>
      </c>
      <c r="B206" s="5" t="inlineStr">
        <is>
          <t>Professor da Educação Básica (40h)</t>
        </is>
      </c>
      <c r="C206" s="4" t="inlineStr">
        <is>
          <t>Efetivo Concursado</t>
        </is>
      </c>
      <c r="D206" s="4" t="inlineStr">
        <is>
          <t>SEC-EDU</t>
        </is>
      </c>
      <c r="E206" s="6" t="n">
        <v>5420.28</v>
      </c>
      <c r="F206" s="6">
        <f>E206*0.22</f>
        <v/>
      </c>
      <c r="G206" s="6">
        <f>E206+F206</f>
        <v/>
      </c>
      <c r="H206" s="10" t="n">
        <v>5</v>
      </c>
      <c r="I206" s="7">
        <f>H206/(180*0.714)</f>
        <v/>
      </c>
    </row>
    <row r="207">
      <c r="A207" s="4" t="inlineStr">
        <is>
          <t>SERV-10203</t>
        </is>
      </c>
      <c r="B207" s="5" t="inlineStr">
        <is>
          <t>Professor da Educação Básica (40h)</t>
        </is>
      </c>
      <c r="C207" s="4" t="inlineStr">
        <is>
          <t>Efetivo Concursado</t>
        </is>
      </c>
      <c r="D207" s="4" t="inlineStr">
        <is>
          <t>SEC-EDU</t>
        </is>
      </c>
      <c r="E207" s="6" t="n">
        <v>4812.99</v>
      </c>
      <c r="F207" s="6">
        <f>E207*0.22</f>
        <v/>
      </c>
      <c r="G207" s="6">
        <f>E207+F207</f>
        <v/>
      </c>
      <c r="H207" s="10" t="n">
        <v>3</v>
      </c>
      <c r="I207" s="7">
        <f>H207/(180*0.714)</f>
        <v/>
      </c>
    </row>
    <row r="208">
      <c r="A208" s="4" t="inlineStr">
        <is>
          <t>SERV-10204</t>
        </is>
      </c>
      <c r="B208" s="5" t="inlineStr">
        <is>
          <t>Professor da Educação Básica (40h)</t>
        </is>
      </c>
      <c r="C208" s="4" t="inlineStr">
        <is>
          <t>Efetivo Concursado</t>
        </is>
      </c>
      <c r="D208" s="4" t="inlineStr">
        <is>
          <t>SEC-EDU</t>
        </is>
      </c>
      <c r="E208" s="6" t="n">
        <v>5137.74</v>
      </c>
      <c r="F208" s="6">
        <f>E208*0.22</f>
        <v/>
      </c>
      <c r="G208" s="6">
        <f>E208+F208</f>
        <v/>
      </c>
      <c r="H208" s="10" t="n">
        <v>6</v>
      </c>
      <c r="I208" s="7">
        <f>H208/(180*0.714)</f>
        <v/>
      </c>
    </row>
    <row r="209">
      <c r="A209" s="4" t="inlineStr">
        <is>
          <t>SERV-10205</t>
        </is>
      </c>
      <c r="B209" s="5" t="inlineStr">
        <is>
          <t>Professor da Educação Básica (40h)</t>
        </is>
      </c>
      <c r="C209" s="4" t="inlineStr">
        <is>
          <t>Efetivo Concursado</t>
        </is>
      </c>
      <c r="D209" s="4" t="inlineStr">
        <is>
          <t>SEC-EDU</t>
        </is>
      </c>
      <c r="E209" s="6" t="n">
        <v>4870.5</v>
      </c>
      <c r="F209" s="6">
        <f>E209*0.22</f>
        <v/>
      </c>
      <c r="G209" s="6">
        <f>E209+F209</f>
        <v/>
      </c>
      <c r="H209" s="10" t="n">
        <v>3</v>
      </c>
      <c r="I209" s="7">
        <f>H209/(180*0.714)</f>
        <v/>
      </c>
    </row>
    <row r="210">
      <c r="A210" s="4" t="inlineStr">
        <is>
          <t>SERV-10206</t>
        </is>
      </c>
      <c r="B210" s="5" t="inlineStr">
        <is>
          <t>Professor da Educação Básica (40h)</t>
        </is>
      </c>
      <c r="C210" s="4" t="inlineStr">
        <is>
          <t>Efetivo Concursado</t>
        </is>
      </c>
      <c r="D210" s="4" t="inlineStr">
        <is>
          <t>SEC-EDU</t>
        </is>
      </c>
      <c r="E210" s="6" t="n">
        <v>5603.31</v>
      </c>
      <c r="F210" s="6">
        <f>E210*0.22</f>
        <v/>
      </c>
      <c r="G210" s="6">
        <f>E210+F210</f>
        <v/>
      </c>
      <c r="H210" s="10" t="n">
        <v>2</v>
      </c>
      <c r="I210" s="7">
        <f>H210/(180*0.714)</f>
        <v/>
      </c>
    </row>
    <row r="211">
      <c r="A211" s="4" t="inlineStr">
        <is>
          <t>SERV-10207</t>
        </is>
      </c>
      <c r="B211" s="5" t="inlineStr">
        <is>
          <t>Professor da Educação Básica (40h)</t>
        </is>
      </c>
      <c r="C211" s="4" t="inlineStr">
        <is>
          <t>Efetivo Concursado</t>
        </is>
      </c>
      <c r="D211" s="4" t="inlineStr">
        <is>
          <t>SEC-EDU</t>
        </is>
      </c>
      <c r="E211" s="6" t="n">
        <v>5512.38</v>
      </c>
      <c r="F211" s="6">
        <f>E211*0.22</f>
        <v/>
      </c>
      <c r="G211" s="6">
        <f>E211+F211</f>
        <v/>
      </c>
      <c r="H211" s="10" t="n">
        <v>5</v>
      </c>
      <c r="I211" s="7">
        <f>H211/(180*0.714)</f>
        <v/>
      </c>
    </row>
    <row r="212">
      <c r="A212" s="4" t="inlineStr">
        <is>
          <t>SERV-10208</t>
        </is>
      </c>
      <c r="B212" s="5" t="inlineStr">
        <is>
          <t>Professor da Educação Básica (40h)</t>
        </is>
      </c>
      <c r="C212" s="4" t="inlineStr">
        <is>
          <t>Efetivo Concursado</t>
        </is>
      </c>
      <c r="D212" s="4" t="inlineStr">
        <is>
          <t>SEC-EDU</t>
        </is>
      </c>
      <c r="E212" s="6" t="n">
        <v>5568.72</v>
      </c>
      <c r="F212" s="6">
        <f>E212*0.22</f>
        <v/>
      </c>
      <c r="G212" s="6">
        <f>E212+F212</f>
        <v/>
      </c>
      <c r="H212" s="10" t="n">
        <v>4</v>
      </c>
      <c r="I212" s="7">
        <f>H212/(180*0.714)</f>
        <v/>
      </c>
    </row>
    <row r="213">
      <c r="A213" s="4" t="inlineStr">
        <is>
          <t>SERV-10209</t>
        </is>
      </c>
      <c r="B213" s="5" t="inlineStr">
        <is>
          <t>Professor da Educação Básica (40h)</t>
        </is>
      </c>
      <c r="C213" s="4" t="inlineStr">
        <is>
          <t>Efetivo Concursado</t>
        </is>
      </c>
      <c r="D213" s="4" t="inlineStr">
        <is>
          <t>SEC-EDU</t>
        </is>
      </c>
      <c r="E213" s="6" t="n">
        <v>5164.66</v>
      </c>
      <c r="F213" s="6">
        <f>E213*0.22</f>
        <v/>
      </c>
      <c r="G213" s="6">
        <f>E213+F213</f>
        <v/>
      </c>
      <c r="H213" s="10" t="n">
        <v>4</v>
      </c>
      <c r="I213" s="7">
        <f>H213/(180*0.714)</f>
        <v/>
      </c>
    </row>
    <row r="214">
      <c r="A214" s="4" t="inlineStr">
        <is>
          <t>SERV-10210</t>
        </is>
      </c>
      <c r="B214" s="5" t="inlineStr">
        <is>
          <t>Professor da Educação Básica (40h)</t>
        </is>
      </c>
      <c r="C214" s="4" t="inlineStr">
        <is>
          <t>Efetivo Concursado</t>
        </is>
      </c>
      <c r="D214" s="4" t="inlineStr">
        <is>
          <t>SEC-EDU</t>
        </is>
      </c>
      <c r="E214" s="6" t="n">
        <v>5617.07</v>
      </c>
      <c r="F214" s="6">
        <f>E214*0.22</f>
        <v/>
      </c>
      <c r="G214" s="6">
        <f>E214+F214</f>
        <v/>
      </c>
      <c r="H214" s="10" t="n">
        <v>4</v>
      </c>
      <c r="I214" s="7">
        <f>H214/(180*0.714)</f>
        <v/>
      </c>
    </row>
    <row r="215">
      <c r="A215" s="4" t="inlineStr">
        <is>
          <t>SERV-10211</t>
        </is>
      </c>
      <c r="B215" s="5" t="inlineStr">
        <is>
          <t>Professor da Educação Básica (40h)</t>
        </is>
      </c>
      <c r="C215" s="4" t="inlineStr">
        <is>
          <t>Efetivo Concursado</t>
        </is>
      </c>
      <c r="D215" s="4" t="inlineStr">
        <is>
          <t>SEC-EDU</t>
        </is>
      </c>
      <c r="E215" s="6" t="n">
        <v>5154.01</v>
      </c>
      <c r="F215" s="6">
        <f>E215*0.22</f>
        <v/>
      </c>
      <c r="G215" s="6">
        <f>E215+F215</f>
        <v/>
      </c>
      <c r="H215" s="10" t="n">
        <v>5</v>
      </c>
      <c r="I215" s="7">
        <f>H215/(180*0.714)</f>
        <v/>
      </c>
    </row>
    <row r="216">
      <c r="A216" s="4" t="inlineStr">
        <is>
          <t>SERV-10212</t>
        </is>
      </c>
      <c r="B216" s="5" t="inlineStr">
        <is>
          <t>Professor da Educação Básica (40h)</t>
        </is>
      </c>
      <c r="C216" s="4" t="inlineStr">
        <is>
          <t>Efetivo Concursado</t>
        </is>
      </c>
      <c r="D216" s="4" t="inlineStr">
        <is>
          <t>SEC-EDU</t>
        </is>
      </c>
      <c r="E216" s="6" t="n">
        <v>4960.86</v>
      </c>
      <c r="F216" s="6">
        <f>E216*0.22</f>
        <v/>
      </c>
      <c r="G216" s="6">
        <f>E216+F216</f>
        <v/>
      </c>
      <c r="H216" s="10" t="n">
        <v>7</v>
      </c>
      <c r="I216" s="7">
        <f>H216/(180*0.714)</f>
        <v/>
      </c>
    </row>
    <row r="217">
      <c r="A217" s="4" t="inlineStr">
        <is>
          <t>SERV-10213</t>
        </is>
      </c>
      <c r="B217" s="5" t="inlineStr">
        <is>
          <t>Professor da Educação Básica (40h)</t>
        </is>
      </c>
      <c r="C217" s="4" t="inlineStr">
        <is>
          <t>Efetivo Concursado</t>
        </is>
      </c>
      <c r="D217" s="4" t="inlineStr">
        <is>
          <t>SEC-EDU</t>
        </is>
      </c>
      <c r="E217" s="6" t="n">
        <v>4961.41</v>
      </c>
      <c r="F217" s="6">
        <f>E217*0.22</f>
        <v/>
      </c>
      <c r="G217" s="6">
        <f>E217+F217</f>
        <v/>
      </c>
      <c r="H217" s="10" t="n">
        <v>4</v>
      </c>
      <c r="I217" s="7">
        <f>H217/(180*0.714)</f>
        <v/>
      </c>
    </row>
    <row r="218">
      <c r="A218" s="4" t="inlineStr">
        <is>
          <t>SERV-10214</t>
        </is>
      </c>
      <c r="B218" s="5" t="inlineStr">
        <is>
          <t>Professor da Educação Básica (40h)</t>
        </is>
      </c>
      <c r="C218" s="4" t="inlineStr">
        <is>
          <t>Efetivo Concursado</t>
        </is>
      </c>
      <c r="D218" s="4" t="inlineStr">
        <is>
          <t>SEC-EDU</t>
        </is>
      </c>
      <c r="E218" s="6" t="n">
        <v>5339.4</v>
      </c>
      <c r="F218" s="6">
        <f>E218*0.22</f>
        <v/>
      </c>
      <c r="G218" s="6">
        <f>E218+F218</f>
        <v/>
      </c>
      <c r="H218" s="10" t="n">
        <v>2</v>
      </c>
      <c r="I218" s="7">
        <f>H218/(180*0.714)</f>
        <v/>
      </c>
    </row>
    <row r="219">
      <c r="A219" s="4" t="inlineStr">
        <is>
          <t>SERV-10215</t>
        </is>
      </c>
      <c r="B219" s="5" t="inlineStr">
        <is>
          <t>Professor da Educação Básica (40h)</t>
        </is>
      </c>
      <c r="C219" s="4" t="inlineStr">
        <is>
          <t>Efetivo Concursado</t>
        </is>
      </c>
      <c r="D219" s="4" t="inlineStr">
        <is>
          <t>SEC-EDU</t>
        </is>
      </c>
      <c r="E219" s="6" t="n">
        <v>5274.39</v>
      </c>
      <c r="F219" s="6">
        <f>E219*0.22</f>
        <v/>
      </c>
      <c r="G219" s="6">
        <f>E219+F219</f>
        <v/>
      </c>
      <c r="H219" s="10" t="n">
        <v>4</v>
      </c>
      <c r="I219" s="7">
        <f>H219/(180*0.714)</f>
        <v/>
      </c>
    </row>
    <row r="220">
      <c r="A220" s="4" t="inlineStr">
        <is>
          <t>SERV-10216</t>
        </is>
      </c>
      <c r="B220" s="5" t="inlineStr">
        <is>
          <t>Professor da Educação Básica (40h)</t>
        </is>
      </c>
      <c r="C220" s="4" t="inlineStr">
        <is>
          <t>Efetivo Concursado</t>
        </is>
      </c>
      <c r="D220" s="4" t="inlineStr">
        <is>
          <t>SEC-EDU</t>
        </is>
      </c>
      <c r="E220" s="6" t="n">
        <v>5259.73</v>
      </c>
      <c r="F220" s="6">
        <f>E220*0.22</f>
        <v/>
      </c>
      <c r="G220" s="6">
        <f>E220+F220</f>
        <v/>
      </c>
      <c r="H220" s="10" t="n">
        <v>2</v>
      </c>
      <c r="I220" s="7">
        <f>H220/(180*0.714)</f>
        <v/>
      </c>
    </row>
    <row r="221">
      <c r="A221" s="4" t="inlineStr">
        <is>
          <t>SERV-10217</t>
        </is>
      </c>
      <c r="B221" s="5" t="inlineStr">
        <is>
          <t>Professor da Educação Básica (40h)</t>
        </is>
      </c>
      <c r="C221" s="4" t="inlineStr">
        <is>
          <t>Efetivo Concursado</t>
        </is>
      </c>
      <c r="D221" s="4" t="inlineStr">
        <is>
          <t>SEC-EDU</t>
        </is>
      </c>
      <c r="E221" s="6" t="n">
        <v>5614.67</v>
      </c>
      <c r="F221" s="6">
        <f>E221*0.22</f>
        <v/>
      </c>
      <c r="G221" s="6">
        <f>E221+F221</f>
        <v/>
      </c>
      <c r="H221" s="10" t="n">
        <v>5</v>
      </c>
      <c r="I221" s="7">
        <f>H221/(180*0.714)</f>
        <v/>
      </c>
    </row>
    <row r="222">
      <c r="A222" s="4" t="inlineStr">
        <is>
          <t>SERV-10218</t>
        </is>
      </c>
      <c r="B222" s="5" t="inlineStr">
        <is>
          <t>Professor da Educação Básica (40h)</t>
        </is>
      </c>
      <c r="C222" s="4" t="inlineStr">
        <is>
          <t>Efetivo Concursado</t>
        </is>
      </c>
      <c r="D222" s="4" t="inlineStr">
        <is>
          <t>SEC-EDU</t>
        </is>
      </c>
      <c r="E222" s="6" t="n">
        <v>4800.79</v>
      </c>
      <c r="F222" s="6">
        <f>E222*0.22</f>
        <v/>
      </c>
      <c r="G222" s="6">
        <f>E222+F222</f>
        <v/>
      </c>
      <c r="H222" s="10" t="n">
        <v>4</v>
      </c>
      <c r="I222" s="7">
        <f>H222/(180*0.714)</f>
        <v/>
      </c>
    </row>
    <row r="223">
      <c r="A223" s="4" t="inlineStr">
        <is>
          <t>SERV-10219</t>
        </is>
      </c>
      <c r="B223" s="5" t="inlineStr">
        <is>
          <t>Professor da Educação Básica (40h)</t>
        </is>
      </c>
      <c r="C223" s="4" t="inlineStr">
        <is>
          <t>Efetivo Concursado</t>
        </is>
      </c>
      <c r="D223" s="4" t="inlineStr">
        <is>
          <t>SEC-EDU</t>
        </is>
      </c>
      <c r="E223" s="6" t="n">
        <v>5001.08</v>
      </c>
      <c r="F223" s="6">
        <f>E223*0.22</f>
        <v/>
      </c>
      <c r="G223" s="6">
        <f>E223+F223</f>
        <v/>
      </c>
      <c r="H223" s="10" t="n">
        <v>7</v>
      </c>
      <c r="I223" s="7">
        <f>H223/(180*0.714)</f>
        <v/>
      </c>
    </row>
    <row r="224">
      <c r="A224" s="4" t="inlineStr">
        <is>
          <t>SERV-10220</t>
        </is>
      </c>
      <c r="B224" s="5" t="inlineStr">
        <is>
          <t>Professor da Educação Básica (40h)</t>
        </is>
      </c>
      <c r="C224" s="4" t="inlineStr">
        <is>
          <t>Efetivo Concursado</t>
        </is>
      </c>
      <c r="D224" s="4" t="inlineStr">
        <is>
          <t>SEC-EDU</t>
        </is>
      </c>
      <c r="E224" s="6" t="n">
        <v>4940.32</v>
      </c>
      <c r="F224" s="6">
        <f>E224*0.22</f>
        <v/>
      </c>
      <c r="G224" s="6">
        <f>E224+F224</f>
        <v/>
      </c>
      <c r="H224" s="10" t="n">
        <v>3</v>
      </c>
      <c r="I224" s="7">
        <f>H224/(180*0.714)</f>
        <v/>
      </c>
    </row>
    <row r="225">
      <c r="A225" s="4" t="inlineStr">
        <is>
          <t>SERV-10221</t>
        </is>
      </c>
      <c r="B225" s="5" t="inlineStr">
        <is>
          <t>Professor da Educação Básica (40h)</t>
        </is>
      </c>
      <c r="C225" s="4" t="inlineStr">
        <is>
          <t>Efetivo Concursado</t>
        </is>
      </c>
      <c r="D225" s="4" t="inlineStr">
        <is>
          <t>SEC-EDU</t>
        </is>
      </c>
      <c r="E225" s="6" t="n">
        <v>5229.99</v>
      </c>
      <c r="F225" s="6">
        <f>E225*0.22</f>
        <v/>
      </c>
      <c r="G225" s="6">
        <f>E225+F225</f>
        <v/>
      </c>
      <c r="H225" s="10" t="n">
        <v>4</v>
      </c>
      <c r="I225" s="7">
        <f>H225/(180*0.714)</f>
        <v/>
      </c>
    </row>
    <row r="226">
      <c r="A226" s="4" t="inlineStr">
        <is>
          <t>SERV-10222</t>
        </is>
      </c>
      <c r="B226" s="5" t="inlineStr">
        <is>
          <t>Professor da Educação Básica (40h)</t>
        </is>
      </c>
      <c r="C226" s="4" t="inlineStr">
        <is>
          <t>Efetivo Concursado</t>
        </is>
      </c>
      <c r="D226" s="4" t="inlineStr">
        <is>
          <t>SEC-EDU</t>
        </is>
      </c>
      <c r="E226" s="6" t="n">
        <v>5712.8</v>
      </c>
      <c r="F226" s="6">
        <f>E226*0.22</f>
        <v/>
      </c>
      <c r="G226" s="6">
        <f>E226+F226</f>
        <v/>
      </c>
      <c r="H226" s="10" t="n">
        <v>5</v>
      </c>
      <c r="I226" s="7">
        <f>H226/(180*0.714)</f>
        <v/>
      </c>
    </row>
    <row r="227">
      <c r="A227" s="4" t="inlineStr">
        <is>
          <t>SERV-10223</t>
        </is>
      </c>
      <c r="B227" s="5" t="inlineStr">
        <is>
          <t>Professor da Educação Básica (40h)</t>
        </is>
      </c>
      <c r="C227" s="4" t="inlineStr">
        <is>
          <t>Efetivo Concursado</t>
        </is>
      </c>
      <c r="D227" s="4" t="inlineStr">
        <is>
          <t>SEC-EDU</t>
        </is>
      </c>
      <c r="E227" s="6" t="n">
        <v>5778.09</v>
      </c>
      <c r="F227" s="6">
        <f>E227*0.22</f>
        <v/>
      </c>
      <c r="G227" s="6">
        <f>E227+F227</f>
        <v/>
      </c>
      <c r="H227" s="10" t="n">
        <v>6</v>
      </c>
      <c r="I227" s="7">
        <f>H227/(180*0.714)</f>
        <v/>
      </c>
    </row>
    <row r="228">
      <c r="A228" s="4" t="inlineStr">
        <is>
          <t>SERV-10224</t>
        </is>
      </c>
      <c r="B228" s="5" t="inlineStr">
        <is>
          <t>Professor da Educação Básica (40h)</t>
        </is>
      </c>
      <c r="C228" s="4" t="inlineStr">
        <is>
          <t>Efetivo Concursado</t>
        </is>
      </c>
      <c r="D228" s="4" t="inlineStr">
        <is>
          <t>SEC-EDU</t>
        </is>
      </c>
      <c r="E228" s="6" t="n">
        <v>4998.46</v>
      </c>
      <c r="F228" s="6">
        <f>E228*0.22</f>
        <v/>
      </c>
      <c r="G228" s="6">
        <f>E228+F228</f>
        <v/>
      </c>
      <c r="H228" s="10" t="n">
        <v>3</v>
      </c>
      <c r="I228" s="7">
        <f>H228/(180*0.714)</f>
        <v/>
      </c>
    </row>
    <row r="229">
      <c r="A229" s="4" t="inlineStr">
        <is>
          <t>SERV-10225</t>
        </is>
      </c>
      <c r="B229" s="5" t="inlineStr">
        <is>
          <t>Professor da Educação Básica (40h)</t>
        </is>
      </c>
      <c r="C229" s="4" t="inlineStr">
        <is>
          <t>Efetivo Concursado</t>
        </is>
      </c>
      <c r="D229" s="4" t="inlineStr">
        <is>
          <t>SEC-EDU</t>
        </is>
      </c>
      <c r="E229" s="6" t="n">
        <v>4863.79</v>
      </c>
      <c r="F229" s="6">
        <f>E229*0.22</f>
        <v/>
      </c>
      <c r="G229" s="6">
        <f>E229+F229</f>
        <v/>
      </c>
      <c r="H229" s="10" t="n">
        <v>7</v>
      </c>
      <c r="I229" s="7">
        <f>H229/(180*0.714)</f>
        <v/>
      </c>
    </row>
    <row r="230">
      <c r="A230" s="4" t="inlineStr">
        <is>
          <t>SERV-10226</t>
        </is>
      </c>
      <c r="B230" s="5" t="inlineStr">
        <is>
          <t>Professor da Educação Básica (40h)</t>
        </is>
      </c>
      <c r="C230" s="4" t="inlineStr">
        <is>
          <t>Efetivo Concursado</t>
        </is>
      </c>
      <c r="D230" s="4" t="inlineStr">
        <is>
          <t>SEC-EDU</t>
        </is>
      </c>
      <c r="E230" s="6" t="n">
        <v>4917</v>
      </c>
      <c r="F230" s="6">
        <f>E230*0.22</f>
        <v/>
      </c>
      <c r="G230" s="6">
        <f>E230+F230</f>
        <v/>
      </c>
      <c r="H230" s="10" t="n">
        <v>2</v>
      </c>
      <c r="I230" s="7">
        <f>H230/(180*0.714)</f>
        <v/>
      </c>
    </row>
    <row r="231">
      <c r="A231" s="4" t="inlineStr">
        <is>
          <t>SERV-10227</t>
        </is>
      </c>
      <c r="B231" s="5" t="inlineStr">
        <is>
          <t>Professor da Educação Básica (40h)</t>
        </is>
      </c>
      <c r="C231" s="4" t="inlineStr">
        <is>
          <t>Efetivo Concursado</t>
        </is>
      </c>
      <c r="D231" s="4" t="inlineStr">
        <is>
          <t>SEC-EDU</t>
        </is>
      </c>
      <c r="E231" s="6" t="n">
        <v>5641.1</v>
      </c>
      <c r="F231" s="6">
        <f>E231*0.22</f>
        <v/>
      </c>
      <c r="G231" s="6">
        <f>E231+F231</f>
        <v/>
      </c>
      <c r="H231" s="10" t="n">
        <v>2</v>
      </c>
      <c r="I231" s="7">
        <f>H231/(180*0.714)</f>
        <v/>
      </c>
    </row>
    <row r="232">
      <c r="A232" s="4" t="inlineStr">
        <is>
          <t>SERV-10228</t>
        </is>
      </c>
      <c r="B232" s="5" t="inlineStr">
        <is>
          <t>Professor da Educação Básica (40h)</t>
        </is>
      </c>
      <c r="C232" s="4" t="inlineStr">
        <is>
          <t>Efetivo Concursado</t>
        </is>
      </c>
      <c r="D232" s="4" t="inlineStr">
        <is>
          <t>SEC-EDU</t>
        </is>
      </c>
      <c r="E232" s="6" t="n">
        <v>4989.08</v>
      </c>
      <c r="F232" s="6">
        <f>E232*0.22</f>
        <v/>
      </c>
      <c r="G232" s="6">
        <f>E232+F232</f>
        <v/>
      </c>
      <c r="H232" s="10" t="n">
        <v>6</v>
      </c>
      <c r="I232" s="7">
        <f>H232/(180*0.714)</f>
        <v/>
      </c>
    </row>
    <row r="233">
      <c r="A233" s="4" t="inlineStr">
        <is>
          <t>SERV-10229</t>
        </is>
      </c>
      <c r="B233" s="5" t="inlineStr">
        <is>
          <t>Professor da Educação Básica (40h)</t>
        </is>
      </c>
      <c r="C233" s="4" t="inlineStr">
        <is>
          <t>Efetivo Concursado</t>
        </is>
      </c>
      <c r="D233" s="4" t="inlineStr">
        <is>
          <t>SEC-EDU</t>
        </is>
      </c>
      <c r="E233" s="6" t="n">
        <v>5223.83</v>
      </c>
      <c r="F233" s="6">
        <f>E233*0.22</f>
        <v/>
      </c>
      <c r="G233" s="6">
        <f>E233+F233</f>
        <v/>
      </c>
      <c r="H233" s="10" t="n">
        <v>2</v>
      </c>
      <c r="I233" s="7">
        <f>H233/(180*0.714)</f>
        <v/>
      </c>
    </row>
    <row r="234">
      <c r="A234" s="4" t="inlineStr">
        <is>
          <t>SERV-10230</t>
        </is>
      </c>
      <c r="B234" s="5" t="inlineStr">
        <is>
          <t>Professor da Educação Básica (40h)</t>
        </is>
      </c>
      <c r="C234" s="4" t="inlineStr">
        <is>
          <t>Efetivo Concursado</t>
        </is>
      </c>
      <c r="D234" s="4" t="inlineStr">
        <is>
          <t>SEC-EDU</t>
        </is>
      </c>
      <c r="E234" s="6" t="n">
        <v>5098.07</v>
      </c>
      <c r="F234" s="6">
        <f>E234*0.22</f>
        <v/>
      </c>
      <c r="G234" s="6">
        <f>E234+F234</f>
        <v/>
      </c>
      <c r="H234" s="10" t="n">
        <v>6</v>
      </c>
      <c r="I234" s="7">
        <f>H234/(180*0.714)</f>
        <v/>
      </c>
    </row>
    <row r="235">
      <c r="A235" s="4" t="inlineStr">
        <is>
          <t>SERV-10231</t>
        </is>
      </c>
      <c r="B235" s="5" t="inlineStr">
        <is>
          <t>Professor da Educação Básica (40h)</t>
        </is>
      </c>
      <c r="C235" s="4" t="inlineStr">
        <is>
          <t>Efetivo Concursado</t>
        </is>
      </c>
      <c r="D235" s="4" t="inlineStr">
        <is>
          <t>SEC-EDU</t>
        </is>
      </c>
      <c r="E235" s="6" t="n">
        <v>5435.08</v>
      </c>
      <c r="F235" s="6">
        <f>E235*0.22</f>
        <v/>
      </c>
      <c r="G235" s="6">
        <f>E235+F235</f>
        <v/>
      </c>
      <c r="H235" s="10" t="n">
        <v>5</v>
      </c>
      <c r="I235" s="7">
        <f>H235/(180*0.714)</f>
        <v/>
      </c>
    </row>
    <row r="236">
      <c r="A236" s="4" t="inlineStr">
        <is>
          <t>SERV-10232</t>
        </is>
      </c>
      <c r="B236" s="5" t="inlineStr">
        <is>
          <t>Professor da Educação Básica (40h)</t>
        </is>
      </c>
      <c r="C236" s="4" t="inlineStr">
        <is>
          <t>Efetivo Concursado</t>
        </is>
      </c>
      <c r="D236" s="4" t="inlineStr">
        <is>
          <t>SEC-EDU</t>
        </is>
      </c>
      <c r="E236" s="6" t="n">
        <v>5029.73</v>
      </c>
      <c r="F236" s="6">
        <f>E236*0.22</f>
        <v/>
      </c>
      <c r="G236" s="6">
        <f>E236+F236</f>
        <v/>
      </c>
      <c r="H236" s="10" t="n">
        <v>6</v>
      </c>
      <c r="I236" s="7">
        <f>H236/(180*0.714)</f>
        <v/>
      </c>
    </row>
    <row r="237">
      <c r="A237" s="4" t="inlineStr">
        <is>
          <t>SERV-10233</t>
        </is>
      </c>
      <c r="B237" s="5" t="inlineStr">
        <is>
          <t>Professor da Educação Básica (40h)</t>
        </is>
      </c>
      <c r="C237" s="4" t="inlineStr">
        <is>
          <t>Efetivo Concursado</t>
        </is>
      </c>
      <c r="D237" s="4" t="inlineStr">
        <is>
          <t>SEC-EDU</t>
        </is>
      </c>
      <c r="E237" s="6" t="n">
        <v>5728.93</v>
      </c>
      <c r="F237" s="6">
        <f>E237*0.22</f>
        <v/>
      </c>
      <c r="G237" s="6">
        <f>E237+F237</f>
        <v/>
      </c>
      <c r="H237" s="10" t="n">
        <v>2</v>
      </c>
      <c r="I237" s="7">
        <f>H237/(180*0.714)</f>
        <v/>
      </c>
    </row>
    <row r="238">
      <c r="A238" s="4" t="inlineStr">
        <is>
          <t>SERV-10234</t>
        </is>
      </c>
      <c r="B238" s="5" t="inlineStr">
        <is>
          <t>Professor da Educação Básica (40h)</t>
        </is>
      </c>
      <c r="C238" s="4" t="inlineStr">
        <is>
          <t>Efetivo Concursado</t>
        </is>
      </c>
      <c r="D238" s="4" t="inlineStr">
        <is>
          <t>SEC-EDU</t>
        </is>
      </c>
      <c r="E238" s="6" t="n">
        <v>5778.81</v>
      </c>
      <c r="F238" s="6">
        <f>E238*0.22</f>
        <v/>
      </c>
      <c r="G238" s="6">
        <f>E238+F238</f>
        <v/>
      </c>
      <c r="H238" s="10" t="n">
        <v>7</v>
      </c>
      <c r="I238" s="7">
        <f>H238/(180*0.714)</f>
        <v/>
      </c>
    </row>
    <row r="239">
      <c r="A239" s="4" t="inlineStr">
        <is>
          <t>SERV-10235</t>
        </is>
      </c>
      <c r="B239" s="5" t="inlineStr">
        <is>
          <t>Professor da Educação Básica (40h)</t>
        </is>
      </c>
      <c r="C239" s="4" t="inlineStr">
        <is>
          <t>Efetivo Concursado</t>
        </is>
      </c>
      <c r="D239" s="4" t="inlineStr">
        <is>
          <t>SEC-EDU</t>
        </is>
      </c>
      <c r="E239" s="6" t="n">
        <v>5665.35</v>
      </c>
      <c r="F239" s="6">
        <f>E239*0.22</f>
        <v/>
      </c>
      <c r="G239" s="6">
        <f>E239+F239</f>
        <v/>
      </c>
      <c r="H239" s="10" t="n">
        <v>5</v>
      </c>
      <c r="I239" s="7">
        <f>H239/(180*0.714)</f>
        <v/>
      </c>
    </row>
    <row r="240">
      <c r="A240" s="4" t="inlineStr">
        <is>
          <t>SERV-10236</t>
        </is>
      </c>
      <c r="B240" s="5" t="inlineStr">
        <is>
          <t>Professor da Educação Básica (40h)</t>
        </is>
      </c>
      <c r="C240" s="4" t="inlineStr">
        <is>
          <t>Efetivo Concursado</t>
        </is>
      </c>
      <c r="D240" s="4" t="inlineStr">
        <is>
          <t>SEC-EDU</t>
        </is>
      </c>
      <c r="E240" s="6" t="n">
        <v>5525.55</v>
      </c>
      <c r="F240" s="6">
        <f>E240*0.22</f>
        <v/>
      </c>
      <c r="G240" s="6">
        <f>E240+F240</f>
        <v/>
      </c>
      <c r="H240" s="10" t="n">
        <v>2</v>
      </c>
      <c r="I240" s="7">
        <f>H240/(180*0.714)</f>
        <v/>
      </c>
    </row>
    <row r="241">
      <c r="A241" s="4" t="inlineStr">
        <is>
          <t>SERV-10237</t>
        </is>
      </c>
      <c r="B241" s="5" t="inlineStr">
        <is>
          <t>Professor da Educação Básica (40h)</t>
        </is>
      </c>
      <c r="C241" s="4" t="inlineStr">
        <is>
          <t>Efetivo Concursado</t>
        </is>
      </c>
      <c r="D241" s="4" t="inlineStr">
        <is>
          <t>SEC-EDU</t>
        </is>
      </c>
      <c r="E241" s="6" t="n">
        <v>5353.15</v>
      </c>
      <c r="F241" s="6">
        <f>E241*0.22</f>
        <v/>
      </c>
      <c r="G241" s="6">
        <f>E241+F241</f>
        <v/>
      </c>
      <c r="H241" s="10" t="n">
        <v>3</v>
      </c>
      <c r="I241" s="7">
        <f>H241/(180*0.714)</f>
        <v/>
      </c>
    </row>
    <row r="242">
      <c r="A242" s="4" t="inlineStr">
        <is>
          <t>SERV-10238</t>
        </is>
      </c>
      <c r="B242" s="5" t="inlineStr">
        <is>
          <t>Professor da Educação Básica (40h)</t>
        </is>
      </c>
      <c r="C242" s="4" t="inlineStr">
        <is>
          <t>Efetivo Concursado</t>
        </is>
      </c>
      <c r="D242" s="4" t="inlineStr">
        <is>
          <t>SEC-EDU</t>
        </is>
      </c>
      <c r="E242" s="6" t="n">
        <v>5669.06</v>
      </c>
      <c r="F242" s="6">
        <f>E242*0.22</f>
        <v/>
      </c>
      <c r="G242" s="6">
        <f>E242+F242</f>
        <v/>
      </c>
      <c r="H242" s="10" t="n">
        <v>6</v>
      </c>
      <c r="I242" s="7">
        <f>H242/(180*0.714)</f>
        <v/>
      </c>
    </row>
    <row r="243">
      <c r="A243" s="4" t="inlineStr">
        <is>
          <t>SERV-10239</t>
        </is>
      </c>
      <c r="B243" s="5" t="inlineStr">
        <is>
          <t>Professor da Educação Básica (40h)</t>
        </is>
      </c>
      <c r="C243" s="4" t="inlineStr">
        <is>
          <t>Efetivo Concursado</t>
        </is>
      </c>
      <c r="D243" s="4" t="inlineStr">
        <is>
          <t>SEC-EDU</t>
        </is>
      </c>
      <c r="E243" s="6" t="n">
        <v>5308.12</v>
      </c>
      <c r="F243" s="6">
        <f>E243*0.22</f>
        <v/>
      </c>
      <c r="G243" s="6">
        <f>E243+F243</f>
        <v/>
      </c>
      <c r="H243" s="10" t="n">
        <v>7</v>
      </c>
      <c r="I243" s="7">
        <f>H243/(180*0.714)</f>
        <v/>
      </c>
    </row>
    <row r="244">
      <c r="A244" s="4" t="inlineStr">
        <is>
          <t>SERV-10240</t>
        </is>
      </c>
      <c r="B244" s="5" t="inlineStr">
        <is>
          <t>Professor da Educação Básica (40h)</t>
        </is>
      </c>
      <c r="C244" s="4" t="inlineStr">
        <is>
          <t>Efetivo Concursado</t>
        </is>
      </c>
      <c r="D244" s="4" t="inlineStr">
        <is>
          <t>SEC-EDU</t>
        </is>
      </c>
      <c r="E244" s="6" t="n">
        <v>5470.83</v>
      </c>
      <c r="F244" s="6">
        <f>E244*0.22</f>
        <v/>
      </c>
      <c r="G244" s="6">
        <f>E244+F244</f>
        <v/>
      </c>
      <c r="H244" s="10" t="n">
        <v>7</v>
      </c>
      <c r="I244" s="7">
        <f>H244/(180*0.714)</f>
        <v/>
      </c>
    </row>
    <row r="245">
      <c r="A245" s="4" t="inlineStr">
        <is>
          <t>SERV-10241</t>
        </is>
      </c>
      <c r="B245" s="5" t="inlineStr">
        <is>
          <t>Professor da Educação Básica (40h)</t>
        </is>
      </c>
      <c r="C245" s="4" t="inlineStr">
        <is>
          <t>Efetivo Concursado</t>
        </is>
      </c>
      <c r="D245" s="4" t="inlineStr">
        <is>
          <t>SEC-EDU</t>
        </is>
      </c>
      <c r="E245" s="6" t="n">
        <v>5749.64</v>
      </c>
      <c r="F245" s="6">
        <f>E245*0.22</f>
        <v/>
      </c>
      <c r="G245" s="6">
        <f>E245+F245</f>
        <v/>
      </c>
      <c r="H245" s="10" t="n">
        <v>7</v>
      </c>
      <c r="I245" s="7">
        <f>H245/(180*0.714)</f>
        <v/>
      </c>
    </row>
    <row r="246">
      <c r="A246" s="4" t="inlineStr">
        <is>
          <t>SERV-10242</t>
        </is>
      </c>
      <c r="B246" s="5" t="inlineStr">
        <is>
          <t>Professor da Educação Básica (40h)</t>
        </is>
      </c>
      <c r="C246" s="4" t="inlineStr">
        <is>
          <t>Efetivo Concursado</t>
        </is>
      </c>
      <c r="D246" s="4" t="inlineStr">
        <is>
          <t>SEC-EDU</t>
        </is>
      </c>
      <c r="E246" s="6" t="n">
        <v>4996.23</v>
      </c>
      <c r="F246" s="6">
        <f>E246*0.22</f>
        <v/>
      </c>
      <c r="G246" s="6">
        <f>E246+F246</f>
        <v/>
      </c>
      <c r="H246" s="10" t="n">
        <v>2</v>
      </c>
      <c r="I246" s="7">
        <f>H246/(180*0.714)</f>
        <v/>
      </c>
    </row>
    <row r="247">
      <c r="A247" s="4" t="inlineStr">
        <is>
          <t>SERV-10243</t>
        </is>
      </c>
      <c r="B247" s="5" t="inlineStr">
        <is>
          <t>Professor da Educação Básica (40h)</t>
        </is>
      </c>
      <c r="C247" s="4" t="inlineStr">
        <is>
          <t>Efetivo Concursado</t>
        </is>
      </c>
      <c r="D247" s="4" t="inlineStr">
        <is>
          <t>SEC-EDU</t>
        </is>
      </c>
      <c r="E247" s="6" t="n">
        <v>5604.07</v>
      </c>
      <c r="F247" s="6">
        <f>E247*0.22</f>
        <v/>
      </c>
      <c r="G247" s="6">
        <f>E247+F247</f>
        <v/>
      </c>
      <c r="H247" s="10" t="n">
        <v>4</v>
      </c>
      <c r="I247" s="7">
        <f>H247/(180*0.714)</f>
        <v/>
      </c>
    </row>
    <row r="248">
      <c r="A248" s="4" t="inlineStr">
        <is>
          <t>SERV-10244</t>
        </is>
      </c>
      <c r="B248" s="5" t="inlineStr">
        <is>
          <t>Professor da Educação Básica (40h)</t>
        </is>
      </c>
      <c r="C248" s="4" t="inlineStr">
        <is>
          <t>Efetivo Concursado</t>
        </is>
      </c>
      <c r="D248" s="4" t="inlineStr">
        <is>
          <t>SEC-EDU</t>
        </is>
      </c>
      <c r="E248" s="6" t="n">
        <v>5386.48</v>
      </c>
      <c r="F248" s="6">
        <f>E248*0.22</f>
        <v/>
      </c>
      <c r="G248" s="6">
        <f>E248+F248</f>
        <v/>
      </c>
      <c r="H248" s="10" t="n">
        <v>7</v>
      </c>
      <c r="I248" s="7">
        <f>H248/(180*0.714)</f>
        <v/>
      </c>
    </row>
    <row r="249">
      <c r="A249" s="4" t="inlineStr">
        <is>
          <t>SERV-10245</t>
        </is>
      </c>
      <c r="B249" s="5" t="inlineStr">
        <is>
          <t>Professor da Educação Básica (40h)</t>
        </is>
      </c>
      <c r="C249" s="4" t="inlineStr">
        <is>
          <t>Efetivo Concursado</t>
        </is>
      </c>
      <c r="D249" s="4" t="inlineStr">
        <is>
          <t>SEC-EDU</t>
        </is>
      </c>
      <c r="E249" s="6" t="n">
        <v>5013.07</v>
      </c>
      <c r="F249" s="6">
        <f>E249*0.22</f>
        <v/>
      </c>
      <c r="G249" s="6">
        <f>E249+F249</f>
        <v/>
      </c>
      <c r="H249" s="10" t="n">
        <v>7</v>
      </c>
      <c r="I249" s="7">
        <f>H249/(180*0.714)</f>
        <v/>
      </c>
    </row>
    <row r="250">
      <c r="A250" s="4" t="inlineStr">
        <is>
          <t>SERV-10246</t>
        </is>
      </c>
      <c r="B250" s="5" t="inlineStr">
        <is>
          <t>Professor da Educação Básica (40h)</t>
        </is>
      </c>
      <c r="C250" s="4" t="inlineStr">
        <is>
          <t>Efetivo Concursado</t>
        </is>
      </c>
      <c r="D250" s="4" t="inlineStr">
        <is>
          <t>SEC-EDU</t>
        </is>
      </c>
      <c r="E250" s="6" t="n">
        <v>5137.52</v>
      </c>
      <c r="F250" s="6">
        <f>E250*0.22</f>
        <v/>
      </c>
      <c r="G250" s="6">
        <f>E250+F250</f>
        <v/>
      </c>
      <c r="H250" s="10" t="n">
        <v>2</v>
      </c>
      <c r="I250" s="7">
        <f>H250/(180*0.714)</f>
        <v/>
      </c>
    </row>
    <row r="251">
      <c r="A251" s="4" t="inlineStr">
        <is>
          <t>SERV-10247</t>
        </is>
      </c>
      <c r="B251" s="5" t="inlineStr">
        <is>
          <t>Professor da Educação Básica (40h)</t>
        </is>
      </c>
      <c r="C251" s="4" t="inlineStr">
        <is>
          <t>Efetivo Concursado</t>
        </is>
      </c>
      <c r="D251" s="4" t="inlineStr">
        <is>
          <t>SEC-EDU</t>
        </is>
      </c>
      <c r="E251" s="6" t="n">
        <v>5636.35</v>
      </c>
      <c r="F251" s="6">
        <f>E251*0.22</f>
        <v/>
      </c>
      <c r="G251" s="6">
        <f>E251+F251</f>
        <v/>
      </c>
      <c r="H251" s="10" t="n">
        <v>7</v>
      </c>
      <c r="I251" s="7">
        <f>H251/(180*0.714)</f>
        <v/>
      </c>
    </row>
    <row r="252">
      <c r="A252" s="4" t="inlineStr">
        <is>
          <t>SERV-10248</t>
        </is>
      </c>
      <c r="B252" s="5" t="inlineStr">
        <is>
          <t>Professor da Educação Básica (40h)</t>
        </is>
      </c>
      <c r="C252" s="4" t="inlineStr">
        <is>
          <t>Efetivo Concursado</t>
        </is>
      </c>
      <c r="D252" s="4" t="inlineStr">
        <is>
          <t>SEC-EDU</t>
        </is>
      </c>
      <c r="E252" s="6" t="n">
        <v>5716.24</v>
      </c>
      <c r="F252" s="6">
        <f>E252*0.22</f>
        <v/>
      </c>
      <c r="G252" s="6">
        <f>E252+F252</f>
        <v/>
      </c>
      <c r="H252" s="10" t="n">
        <v>6</v>
      </c>
      <c r="I252" s="7">
        <f>H252/(180*0.714)</f>
        <v/>
      </c>
    </row>
    <row r="253">
      <c r="A253" s="4" t="inlineStr">
        <is>
          <t>SERV-10249</t>
        </is>
      </c>
      <c r="B253" s="5" t="inlineStr">
        <is>
          <t>Professor da Educação Básica (40h)</t>
        </is>
      </c>
      <c r="C253" s="4" t="inlineStr">
        <is>
          <t>Efetivo Concursado</t>
        </is>
      </c>
      <c r="D253" s="4" t="inlineStr">
        <is>
          <t>SEC-EDU</t>
        </is>
      </c>
      <c r="E253" s="6" t="n">
        <v>4798.61</v>
      </c>
      <c r="F253" s="6">
        <f>E253*0.22</f>
        <v/>
      </c>
      <c r="G253" s="6">
        <f>E253+F253</f>
        <v/>
      </c>
      <c r="H253" s="10" t="n">
        <v>6</v>
      </c>
      <c r="I253" s="7">
        <f>H253/(180*0.714)</f>
        <v/>
      </c>
    </row>
    <row r="254">
      <c r="A254" s="4" t="inlineStr">
        <is>
          <t>SERV-10250</t>
        </is>
      </c>
      <c r="B254" s="5" t="inlineStr">
        <is>
          <t>Professor da Educação Básica (40h)</t>
        </is>
      </c>
      <c r="C254" s="4" t="inlineStr">
        <is>
          <t>Efetivo Concursado</t>
        </is>
      </c>
      <c r="D254" s="4" t="inlineStr">
        <is>
          <t>SEC-EDU</t>
        </is>
      </c>
      <c r="E254" s="6" t="n">
        <v>4784.46</v>
      </c>
      <c r="F254" s="6">
        <f>E254*0.22</f>
        <v/>
      </c>
      <c r="G254" s="6">
        <f>E254+F254</f>
        <v/>
      </c>
      <c r="H254" s="10" t="n">
        <v>3</v>
      </c>
      <c r="I254" s="7">
        <f>H254/(180*0.714)</f>
        <v/>
      </c>
    </row>
    <row r="255">
      <c r="A255" s="4" t="inlineStr">
        <is>
          <t>SERV-10251</t>
        </is>
      </c>
      <c r="B255" s="5" t="inlineStr">
        <is>
          <t>Professor da Educação Básica (40h)</t>
        </is>
      </c>
      <c r="C255" s="4" t="inlineStr">
        <is>
          <t>Efetivo Concursado</t>
        </is>
      </c>
      <c r="D255" s="4" t="inlineStr">
        <is>
          <t>SEC-EDU</t>
        </is>
      </c>
      <c r="E255" s="6" t="n">
        <v>5412.37</v>
      </c>
      <c r="F255" s="6">
        <f>E255*0.22</f>
        <v/>
      </c>
      <c r="G255" s="6">
        <f>E255+F255</f>
        <v/>
      </c>
      <c r="H255" s="10" t="n">
        <v>2</v>
      </c>
      <c r="I255" s="7">
        <f>H255/(180*0.714)</f>
        <v/>
      </c>
    </row>
    <row r="256">
      <c r="A256" s="4" t="inlineStr">
        <is>
          <t>SERV-10252</t>
        </is>
      </c>
      <c r="B256" s="5" t="inlineStr">
        <is>
          <t>Professor da Educação Básica (40h)</t>
        </is>
      </c>
      <c r="C256" s="4" t="inlineStr">
        <is>
          <t>Efetivo Concursado</t>
        </is>
      </c>
      <c r="D256" s="4" t="inlineStr">
        <is>
          <t>SEC-EDU</t>
        </is>
      </c>
      <c r="E256" s="6" t="n">
        <v>5360.73</v>
      </c>
      <c r="F256" s="6">
        <f>E256*0.22</f>
        <v/>
      </c>
      <c r="G256" s="6">
        <f>E256+F256</f>
        <v/>
      </c>
      <c r="H256" s="10" t="n">
        <v>2</v>
      </c>
      <c r="I256" s="7">
        <f>H256/(180*0.714)</f>
        <v/>
      </c>
    </row>
    <row r="257">
      <c r="A257" s="4" t="inlineStr">
        <is>
          <t>SERV-10253</t>
        </is>
      </c>
      <c r="B257" s="5" t="inlineStr">
        <is>
          <t>Professor da Educação Básica (40h)</t>
        </is>
      </c>
      <c r="C257" s="4" t="inlineStr">
        <is>
          <t>Efetivo Concursado</t>
        </is>
      </c>
      <c r="D257" s="4" t="inlineStr">
        <is>
          <t>SEC-EDU</t>
        </is>
      </c>
      <c r="E257" s="6" t="n">
        <v>5796.06</v>
      </c>
      <c r="F257" s="6">
        <f>E257*0.22</f>
        <v/>
      </c>
      <c r="G257" s="6">
        <f>E257+F257</f>
        <v/>
      </c>
      <c r="H257" s="10" t="n">
        <v>5</v>
      </c>
      <c r="I257" s="7">
        <f>H257/(180*0.714)</f>
        <v/>
      </c>
    </row>
    <row r="258">
      <c r="A258" s="4" t="inlineStr">
        <is>
          <t>SERV-10254</t>
        </is>
      </c>
      <c r="B258" s="5" t="inlineStr">
        <is>
          <t>Professor da Educação Básica (40h)</t>
        </is>
      </c>
      <c r="C258" s="4" t="inlineStr">
        <is>
          <t>Efetivo Concursado</t>
        </is>
      </c>
      <c r="D258" s="4" t="inlineStr">
        <is>
          <t>SEC-EDU</t>
        </is>
      </c>
      <c r="E258" s="6" t="n">
        <v>5447.7</v>
      </c>
      <c r="F258" s="6">
        <f>E258*0.22</f>
        <v/>
      </c>
      <c r="G258" s="6">
        <f>E258+F258</f>
        <v/>
      </c>
      <c r="H258" s="10" t="n">
        <v>3</v>
      </c>
      <c r="I258" s="7">
        <f>H258/(180*0.714)</f>
        <v/>
      </c>
    </row>
    <row r="259">
      <c r="A259" s="4" t="inlineStr">
        <is>
          <t>SERV-10255</t>
        </is>
      </c>
      <c r="B259" s="5" t="inlineStr">
        <is>
          <t>Professor da Educação Básica (40h)</t>
        </is>
      </c>
      <c r="C259" s="4" t="inlineStr">
        <is>
          <t>Efetivo Concursado</t>
        </is>
      </c>
      <c r="D259" s="4" t="inlineStr">
        <is>
          <t>SEC-EDU</t>
        </is>
      </c>
      <c r="E259" s="6" t="n">
        <v>5078.9</v>
      </c>
      <c r="F259" s="6">
        <f>E259*0.22</f>
        <v/>
      </c>
      <c r="G259" s="6">
        <f>E259+F259</f>
        <v/>
      </c>
      <c r="H259" s="10" t="n">
        <v>7</v>
      </c>
      <c r="I259" s="7">
        <f>H259/(180*0.714)</f>
        <v/>
      </c>
    </row>
    <row r="260">
      <c r="A260" s="4" t="inlineStr">
        <is>
          <t>SERV-10256</t>
        </is>
      </c>
      <c r="B260" s="5" t="inlineStr">
        <is>
          <t>Professor da Educação Básica (40h)</t>
        </is>
      </c>
      <c r="C260" s="4" t="inlineStr">
        <is>
          <t>Efetivo Concursado</t>
        </is>
      </c>
      <c r="D260" s="4" t="inlineStr">
        <is>
          <t>SEC-EDU</t>
        </is>
      </c>
      <c r="E260" s="6" t="n">
        <v>5774.31</v>
      </c>
      <c r="F260" s="6">
        <f>E260*0.22</f>
        <v/>
      </c>
      <c r="G260" s="6">
        <f>E260+F260</f>
        <v/>
      </c>
      <c r="H260" s="10" t="n">
        <v>4</v>
      </c>
      <c r="I260" s="7">
        <f>H260/(180*0.714)</f>
        <v/>
      </c>
    </row>
    <row r="261">
      <c r="A261" s="4" t="inlineStr">
        <is>
          <t>SERV-10257</t>
        </is>
      </c>
      <c r="B261" s="5" t="inlineStr">
        <is>
          <t>Professor da Educação Básica (40h)</t>
        </is>
      </c>
      <c r="C261" s="4" t="inlineStr">
        <is>
          <t>Efetivo Concursado</t>
        </is>
      </c>
      <c r="D261" s="4" t="inlineStr">
        <is>
          <t>SEC-EDU</t>
        </is>
      </c>
      <c r="E261" s="6" t="n">
        <v>5383.79</v>
      </c>
      <c r="F261" s="6">
        <f>E261*0.22</f>
        <v/>
      </c>
      <c r="G261" s="6">
        <f>E261+F261</f>
        <v/>
      </c>
      <c r="H261" s="10" t="n">
        <v>2</v>
      </c>
      <c r="I261" s="7">
        <f>H261/(180*0.714)</f>
        <v/>
      </c>
    </row>
    <row r="262">
      <c r="A262" s="4" t="inlineStr">
        <is>
          <t>SERV-10258</t>
        </is>
      </c>
      <c r="B262" s="5" t="inlineStr">
        <is>
          <t>Professor da Educação Básica (40h)</t>
        </is>
      </c>
      <c r="C262" s="4" t="inlineStr">
        <is>
          <t>Efetivo Concursado</t>
        </is>
      </c>
      <c r="D262" s="4" t="inlineStr">
        <is>
          <t>SEC-EDU</t>
        </is>
      </c>
      <c r="E262" s="6" t="n">
        <v>4799.28</v>
      </c>
      <c r="F262" s="6">
        <f>E262*0.22</f>
        <v/>
      </c>
      <c r="G262" s="6">
        <f>E262+F262</f>
        <v/>
      </c>
      <c r="H262" s="10" t="n">
        <v>4</v>
      </c>
      <c r="I262" s="7">
        <f>H262/(180*0.714)</f>
        <v/>
      </c>
    </row>
    <row r="263">
      <c r="A263" s="4" t="inlineStr">
        <is>
          <t>SERV-10259</t>
        </is>
      </c>
      <c r="B263" s="5" t="inlineStr">
        <is>
          <t>Professor da Educação Básica (40h)</t>
        </is>
      </c>
      <c r="C263" s="4" t="inlineStr">
        <is>
          <t>Efetivo Concursado</t>
        </is>
      </c>
      <c r="D263" s="4" t="inlineStr">
        <is>
          <t>SEC-EDU</t>
        </is>
      </c>
      <c r="E263" s="6" t="n">
        <v>5500.07</v>
      </c>
      <c r="F263" s="6">
        <f>E263*0.22</f>
        <v/>
      </c>
      <c r="G263" s="6">
        <f>E263+F263</f>
        <v/>
      </c>
      <c r="H263" s="10" t="n">
        <v>4</v>
      </c>
      <c r="I263" s="7">
        <f>H263/(180*0.714)</f>
        <v/>
      </c>
    </row>
    <row r="264">
      <c r="A264" s="4" t="inlineStr">
        <is>
          <t>SERV-10260</t>
        </is>
      </c>
      <c r="B264" s="5" t="inlineStr">
        <is>
          <t>Professor da Educação Básica (40h)</t>
        </is>
      </c>
      <c r="C264" s="4" t="inlineStr">
        <is>
          <t>Efetivo Concursado</t>
        </is>
      </c>
      <c r="D264" s="4" t="inlineStr">
        <is>
          <t>SEC-EDU</t>
        </is>
      </c>
      <c r="E264" s="6" t="n">
        <v>5597.01</v>
      </c>
      <c r="F264" s="6">
        <f>E264*0.22</f>
        <v/>
      </c>
      <c r="G264" s="6">
        <f>E264+F264</f>
        <v/>
      </c>
      <c r="H264" s="10" t="n">
        <v>7</v>
      </c>
      <c r="I264" s="7">
        <f>H264/(180*0.714)</f>
        <v/>
      </c>
    </row>
    <row r="265">
      <c r="A265" s="4" t="inlineStr">
        <is>
          <t>SERV-10261</t>
        </is>
      </c>
      <c r="B265" s="5" t="inlineStr">
        <is>
          <t>Professor da Educação Básica (40h)</t>
        </is>
      </c>
      <c r="C265" s="4" t="inlineStr">
        <is>
          <t>Efetivo Concursado</t>
        </is>
      </c>
      <c r="D265" s="4" t="inlineStr">
        <is>
          <t>SEC-EDU</t>
        </is>
      </c>
      <c r="E265" s="6" t="n">
        <v>4818.06</v>
      </c>
      <c r="F265" s="6">
        <f>E265*0.22</f>
        <v/>
      </c>
      <c r="G265" s="6">
        <f>E265+F265</f>
        <v/>
      </c>
      <c r="H265" s="10" t="n">
        <v>7</v>
      </c>
      <c r="I265" s="7">
        <f>H265/(180*0.714)</f>
        <v/>
      </c>
    </row>
    <row r="266">
      <c r="A266" s="4" t="inlineStr">
        <is>
          <t>SERV-10262</t>
        </is>
      </c>
      <c r="B266" s="5" t="inlineStr">
        <is>
          <t>Professor da Educação Básica (40h)</t>
        </is>
      </c>
      <c r="C266" s="4" t="inlineStr">
        <is>
          <t>Efetivo Concursado</t>
        </is>
      </c>
      <c r="D266" s="4" t="inlineStr">
        <is>
          <t>SEC-EDU</t>
        </is>
      </c>
      <c r="E266" s="6" t="n">
        <v>5330.09</v>
      </c>
      <c r="F266" s="6">
        <f>E266*0.22</f>
        <v/>
      </c>
      <c r="G266" s="6">
        <f>E266+F266</f>
        <v/>
      </c>
      <c r="H266" s="10" t="n">
        <v>2</v>
      </c>
      <c r="I266" s="7">
        <f>H266/(180*0.714)</f>
        <v/>
      </c>
    </row>
    <row r="267">
      <c r="A267" s="4" t="inlineStr">
        <is>
          <t>SERV-10263</t>
        </is>
      </c>
      <c r="B267" s="5" t="inlineStr">
        <is>
          <t>Professor da Educação Básica (40h)</t>
        </is>
      </c>
      <c r="C267" s="4" t="inlineStr">
        <is>
          <t>Efetivo Concursado</t>
        </is>
      </c>
      <c r="D267" s="4" t="inlineStr">
        <is>
          <t>SEC-EDU</t>
        </is>
      </c>
      <c r="E267" s="6" t="n">
        <v>5026.03</v>
      </c>
      <c r="F267" s="6">
        <f>E267*0.22</f>
        <v/>
      </c>
      <c r="G267" s="6">
        <f>E267+F267</f>
        <v/>
      </c>
      <c r="H267" s="10" t="n">
        <v>3</v>
      </c>
      <c r="I267" s="7">
        <f>H267/(180*0.714)</f>
        <v/>
      </c>
    </row>
    <row r="268">
      <c r="A268" s="4" t="inlineStr">
        <is>
          <t>SERV-10264</t>
        </is>
      </c>
      <c r="B268" s="5" t="inlineStr">
        <is>
          <t>Professor da Educação Básica (40h)</t>
        </is>
      </c>
      <c r="C268" s="4" t="inlineStr">
        <is>
          <t>Efetivo Concursado</t>
        </is>
      </c>
      <c r="D268" s="4" t="inlineStr">
        <is>
          <t>SEC-EDU</t>
        </is>
      </c>
      <c r="E268" s="6" t="n">
        <v>5437</v>
      </c>
      <c r="F268" s="6">
        <f>E268*0.22</f>
        <v/>
      </c>
      <c r="G268" s="6">
        <f>E268+F268</f>
        <v/>
      </c>
      <c r="H268" s="10" t="n">
        <v>5</v>
      </c>
      <c r="I268" s="7">
        <f>H268/(180*0.714)</f>
        <v/>
      </c>
    </row>
    <row r="269">
      <c r="A269" s="4" t="inlineStr">
        <is>
          <t>SERV-10265</t>
        </is>
      </c>
      <c r="B269" s="5" t="inlineStr">
        <is>
          <t>Professor da Educação Básica (40h)</t>
        </is>
      </c>
      <c r="C269" s="4" t="inlineStr">
        <is>
          <t>Efetivo Concursado</t>
        </is>
      </c>
      <c r="D269" s="4" t="inlineStr">
        <is>
          <t>SEC-EDU</t>
        </is>
      </c>
      <c r="E269" s="6" t="n">
        <v>5614.99</v>
      </c>
      <c r="F269" s="6">
        <f>E269*0.22</f>
        <v/>
      </c>
      <c r="G269" s="6">
        <f>E269+F269</f>
        <v/>
      </c>
      <c r="H269" s="10" t="n">
        <v>6</v>
      </c>
      <c r="I269" s="7">
        <f>H269/(180*0.714)</f>
        <v/>
      </c>
    </row>
    <row r="270">
      <c r="A270" s="4" t="inlineStr">
        <is>
          <t>SERV-10266</t>
        </is>
      </c>
      <c r="B270" s="5" t="inlineStr">
        <is>
          <t>Professor da Educação Básica (40h)</t>
        </is>
      </c>
      <c r="C270" s="4" t="inlineStr">
        <is>
          <t>Efetivo Concursado</t>
        </is>
      </c>
      <c r="D270" s="4" t="inlineStr">
        <is>
          <t>SEC-EDU</t>
        </is>
      </c>
      <c r="E270" s="6" t="n">
        <v>5276.18</v>
      </c>
      <c r="F270" s="6">
        <f>E270*0.22</f>
        <v/>
      </c>
      <c r="G270" s="6">
        <f>E270+F270</f>
        <v/>
      </c>
      <c r="H270" s="10" t="n">
        <v>5</v>
      </c>
      <c r="I270" s="7">
        <f>H270/(180*0.714)</f>
        <v/>
      </c>
    </row>
    <row r="271">
      <c r="A271" s="4" t="inlineStr">
        <is>
          <t>SERV-10267</t>
        </is>
      </c>
      <c r="B271" s="5" t="inlineStr">
        <is>
          <t>Professor da Educação Básica (40h)</t>
        </is>
      </c>
      <c r="C271" s="4" t="inlineStr">
        <is>
          <t>Efetivo Concursado</t>
        </is>
      </c>
      <c r="D271" s="4" t="inlineStr">
        <is>
          <t>SEC-EDU</t>
        </is>
      </c>
      <c r="E271" s="6" t="n">
        <v>5405.69</v>
      </c>
      <c r="F271" s="6">
        <f>E271*0.22</f>
        <v/>
      </c>
      <c r="G271" s="6">
        <f>E271+F271</f>
        <v/>
      </c>
      <c r="H271" s="10" t="n">
        <v>7</v>
      </c>
      <c r="I271" s="7">
        <f>H271/(180*0.714)</f>
        <v/>
      </c>
    </row>
    <row r="272">
      <c r="A272" s="4" t="inlineStr">
        <is>
          <t>SERV-10268</t>
        </is>
      </c>
      <c r="B272" s="5" t="inlineStr">
        <is>
          <t>Professor da Educação Básica (40h)</t>
        </is>
      </c>
      <c r="C272" s="4" t="inlineStr">
        <is>
          <t>Efetivo Concursado</t>
        </is>
      </c>
      <c r="D272" s="4" t="inlineStr">
        <is>
          <t>SEC-EDU</t>
        </is>
      </c>
      <c r="E272" s="6" t="n">
        <v>4874.4</v>
      </c>
      <c r="F272" s="6">
        <f>E272*0.22</f>
        <v/>
      </c>
      <c r="G272" s="6">
        <f>E272+F272</f>
        <v/>
      </c>
      <c r="H272" s="10" t="n">
        <v>6</v>
      </c>
      <c r="I272" s="7">
        <f>H272/(180*0.714)</f>
        <v/>
      </c>
    </row>
    <row r="273">
      <c r="A273" s="4" t="inlineStr">
        <is>
          <t>SERV-10269</t>
        </is>
      </c>
      <c r="B273" s="5" t="inlineStr">
        <is>
          <t>Professor da Educação Básica (40h)</t>
        </is>
      </c>
      <c r="C273" s="4" t="inlineStr">
        <is>
          <t>Efetivo Concursado</t>
        </is>
      </c>
      <c r="D273" s="4" t="inlineStr">
        <is>
          <t>SEC-EDU</t>
        </is>
      </c>
      <c r="E273" s="6" t="n">
        <v>4876.93</v>
      </c>
      <c r="F273" s="6">
        <f>E273*0.22</f>
        <v/>
      </c>
      <c r="G273" s="6">
        <f>E273+F273</f>
        <v/>
      </c>
      <c r="H273" s="10" t="n">
        <v>2</v>
      </c>
      <c r="I273" s="7">
        <f>H273/(180*0.714)</f>
        <v/>
      </c>
    </row>
    <row r="274">
      <c r="A274" s="4" t="inlineStr">
        <is>
          <t>SERV-10270</t>
        </is>
      </c>
      <c r="B274" s="5" t="inlineStr">
        <is>
          <t>Professor da Educação Básica (40h)</t>
        </is>
      </c>
      <c r="C274" s="4" t="inlineStr">
        <is>
          <t>Efetivo Concursado</t>
        </is>
      </c>
      <c r="D274" s="4" t="inlineStr">
        <is>
          <t>SEC-EDU</t>
        </is>
      </c>
      <c r="E274" s="6" t="n">
        <v>5684.52</v>
      </c>
      <c r="F274" s="6">
        <f>E274*0.22</f>
        <v/>
      </c>
      <c r="G274" s="6">
        <f>E274+F274</f>
        <v/>
      </c>
      <c r="H274" s="10" t="n">
        <v>5</v>
      </c>
      <c r="I274" s="7">
        <f>H274/(180*0.714)</f>
        <v/>
      </c>
    </row>
    <row r="275">
      <c r="A275" s="4" t="inlineStr">
        <is>
          <t>SERV-10271</t>
        </is>
      </c>
      <c r="B275" s="5" t="inlineStr">
        <is>
          <t>Professor da Educação Básica (40h)</t>
        </is>
      </c>
      <c r="C275" s="4" t="inlineStr">
        <is>
          <t>Efetivo Concursado</t>
        </is>
      </c>
      <c r="D275" s="4" t="inlineStr">
        <is>
          <t>SEC-EDU</t>
        </is>
      </c>
      <c r="E275" s="6" t="n">
        <v>5778.36</v>
      </c>
      <c r="F275" s="6">
        <f>E275*0.22</f>
        <v/>
      </c>
      <c r="G275" s="6">
        <f>E275+F275</f>
        <v/>
      </c>
      <c r="H275" s="10" t="n">
        <v>3</v>
      </c>
      <c r="I275" s="7">
        <f>H275/(180*0.714)</f>
        <v/>
      </c>
    </row>
    <row r="276">
      <c r="A276" s="4" t="inlineStr">
        <is>
          <t>SERV-10272</t>
        </is>
      </c>
      <c r="B276" s="5" t="inlineStr">
        <is>
          <t>Professor da Educação Básica (40h)</t>
        </is>
      </c>
      <c r="C276" s="4" t="inlineStr">
        <is>
          <t>Efetivo Concursado</t>
        </is>
      </c>
      <c r="D276" s="4" t="inlineStr">
        <is>
          <t>SEC-EDU</t>
        </is>
      </c>
      <c r="E276" s="6" t="n">
        <v>5473.35</v>
      </c>
      <c r="F276" s="6">
        <f>E276*0.22</f>
        <v/>
      </c>
      <c r="G276" s="6">
        <f>E276+F276</f>
        <v/>
      </c>
      <c r="H276" s="10" t="n">
        <v>2</v>
      </c>
      <c r="I276" s="7">
        <f>H276/(180*0.714)</f>
        <v/>
      </c>
    </row>
    <row r="277">
      <c r="A277" s="4" t="inlineStr">
        <is>
          <t>SERV-10273</t>
        </is>
      </c>
      <c r="B277" s="5" t="inlineStr">
        <is>
          <t>Professor da Educação Básica (40h)</t>
        </is>
      </c>
      <c r="C277" s="4" t="inlineStr">
        <is>
          <t>Efetivo Concursado</t>
        </is>
      </c>
      <c r="D277" s="4" t="inlineStr">
        <is>
          <t>SEC-EDU</t>
        </is>
      </c>
      <c r="E277" s="6" t="n">
        <v>5100.05</v>
      </c>
      <c r="F277" s="6">
        <f>E277*0.22</f>
        <v/>
      </c>
      <c r="G277" s="6">
        <f>E277+F277</f>
        <v/>
      </c>
      <c r="H277" s="10" t="n">
        <v>7</v>
      </c>
      <c r="I277" s="7">
        <f>H277/(180*0.714)</f>
        <v/>
      </c>
    </row>
    <row r="278">
      <c r="A278" s="4" t="inlineStr">
        <is>
          <t>SERV-10274</t>
        </is>
      </c>
      <c r="B278" s="5" t="inlineStr">
        <is>
          <t>Professor da Educação Básica (40h)</t>
        </is>
      </c>
      <c r="C278" s="4" t="inlineStr">
        <is>
          <t>Efetivo Concursado</t>
        </is>
      </c>
      <c r="D278" s="4" t="inlineStr">
        <is>
          <t>SEC-EDU</t>
        </is>
      </c>
      <c r="E278" s="6" t="n">
        <v>5228.5</v>
      </c>
      <c r="F278" s="6">
        <f>E278*0.22</f>
        <v/>
      </c>
      <c r="G278" s="6">
        <f>E278+F278</f>
        <v/>
      </c>
      <c r="H278" s="10" t="n">
        <v>2</v>
      </c>
      <c r="I278" s="7">
        <f>H278/(180*0.714)</f>
        <v/>
      </c>
    </row>
    <row r="279">
      <c r="A279" s="4" t="inlineStr">
        <is>
          <t>SERV-10275</t>
        </is>
      </c>
      <c r="B279" s="5" t="inlineStr">
        <is>
          <t>Professor da Educação Básica (40h)</t>
        </is>
      </c>
      <c r="C279" s="4" t="inlineStr">
        <is>
          <t>Efetivo Concursado</t>
        </is>
      </c>
      <c r="D279" s="4" t="inlineStr">
        <is>
          <t>SEC-EDU</t>
        </is>
      </c>
      <c r="E279" s="6" t="n">
        <v>5304.97</v>
      </c>
      <c r="F279" s="6">
        <f>E279*0.22</f>
        <v/>
      </c>
      <c r="G279" s="6">
        <f>E279+F279</f>
        <v/>
      </c>
      <c r="H279" s="10" t="n">
        <v>7</v>
      </c>
      <c r="I279" s="7">
        <f>H279/(180*0.714)</f>
        <v/>
      </c>
    </row>
    <row r="280">
      <c r="A280" s="4" t="inlineStr">
        <is>
          <t>SERV-10276</t>
        </is>
      </c>
      <c r="B280" s="5" t="inlineStr">
        <is>
          <t>Professor da Educação Básica (40h)</t>
        </is>
      </c>
      <c r="C280" s="4" t="inlineStr">
        <is>
          <t>Efetivo Concursado</t>
        </is>
      </c>
      <c r="D280" s="4" t="inlineStr">
        <is>
          <t>SEC-EDU</t>
        </is>
      </c>
      <c r="E280" s="6" t="n">
        <v>5011.7</v>
      </c>
      <c r="F280" s="6">
        <f>E280*0.22</f>
        <v/>
      </c>
      <c r="G280" s="6">
        <f>E280+F280</f>
        <v/>
      </c>
      <c r="H280" s="10" t="n">
        <v>2</v>
      </c>
      <c r="I280" s="7">
        <f>H280/(180*0.714)</f>
        <v/>
      </c>
    </row>
    <row r="281">
      <c r="A281" s="4" t="inlineStr">
        <is>
          <t>SERV-10277</t>
        </is>
      </c>
      <c r="B281" s="5" t="inlineStr">
        <is>
          <t>Professor da Educação Básica (40h)</t>
        </is>
      </c>
      <c r="C281" s="4" t="inlineStr">
        <is>
          <t>Efetivo Concursado</t>
        </is>
      </c>
      <c r="D281" s="4" t="inlineStr">
        <is>
          <t>SEC-EDU</t>
        </is>
      </c>
      <c r="E281" s="6" t="n">
        <v>5282.3</v>
      </c>
      <c r="F281" s="6">
        <f>E281*0.22</f>
        <v/>
      </c>
      <c r="G281" s="6">
        <f>E281+F281</f>
        <v/>
      </c>
      <c r="H281" s="10" t="n">
        <v>4</v>
      </c>
      <c r="I281" s="7">
        <f>H281/(180*0.714)</f>
        <v/>
      </c>
    </row>
    <row r="282">
      <c r="A282" s="4" t="inlineStr">
        <is>
          <t>SERV-10278</t>
        </is>
      </c>
      <c r="B282" s="5" t="inlineStr">
        <is>
          <t>Professor da Educação Básica (40h)</t>
        </is>
      </c>
      <c r="C282" s="4" t="inlineStr">
        <is>
          <t>Efetivo Concursado</t>
        </is>
      </c>
      <c r="D282" s="4" t="inlineStr">
        <is>
          <t>SEC-EDU</t>
        </is>
      </c>
      <c r="E282" s="6" t="n">
        <v>5056.84</v>
      </c>
      <c r="F282" s="6">
        <f>E282*0.22</f>
        <v/>
      </c>
      <c r="G282" s="6">
        <f>E282+F282</f>
        <v/>
      </c>
      <c r="H282" s="10" t="n">
        <v>3</v>
      </c>
      <c r="I282" s="7">
        <f>H282/(180*0.714)</f>
        <v/>
      </c>
    </row>
    <row r="283">
      <c r="A283" s="4" t="inlineStr">
        <is>
          <t>SERV-10279</t>
        </is>
      </c>
      <c r="B283" s="5" t="inlineStr">
        <is>
          <t>Professor da Educação Básica (40h)</t>
        </is>
      </c>
      <c r="C283" s="4" t="inlineStr">
        <is>
          <t>Efetivo Concursado</t>
        </is>
      </c>
      <c r="D283" s="4" t="inlineStr">
        <is>
          <t>SEC-EDU</t>
        </is>
      </c>
      <c r="E283" s="6" t="n">
        <v>4800.93</v>
      </c>
      <c r="F283" s="6">
        <f>E283*0.22</f>
        <v/>
      </c>
      <c r="G283" s="6">
        <f>E283+F283</f>
        <v/>
      </c>
      <c r="H283" s="10" t="n">
        <v>2</v>
      </c>
      <c r="I283" s="7">
        <f>H283/(180*0.714)</f>
        <v/>
      </c>
    </row>
    <row r="284">
      <c r="A284" s="4" t="inlineStr">
        <is>
          <t>SERV-10280</t>
        </is>
      </c>
      <c r="B284" s="5" t="inlineStr">
        <is>
          <t>Professor da Educação Básica (40h)</t>
        </is>
      </c>
      <c r="C284" s="4" t="inlineStr">
        <is>
          <t>Efetivo Concursado</t>
        </is>
      </c>
      <c r="D284" s="4" t="inlineStr">
        <is>
          <t>SEC-EDU</t>
        </is>
      </c>
      <c r="E284" s="6" t="n">
        <v>5731.62</v>
      </c>
      <c r="F284" s="6">
        <f>E284*0.22</f>
        <v/>
      </c>
      <c r="G284" s="6">
        <f>E284+F284</f>
        <v/>
      </c>
      <c r="H284" s="10" t="n">
        <v>6</v>
      </c>
      <c r="I284" s="7">
        <f>H284/(180*0.714)</f>
        <v/>
      </c>
    </row>
    <row r="285">
      <c r="A285" s="4" t="inlineStr">
        <is>
          <t>SERV-10281</t>
        </is>
      </c>
      <c r="B285" s="5" t="inlineStr">
        <is>
          <t>Professor da Educação Básica (40h)</t>
        </is>
      </c>
      <c r="C285" s="4" t="inlineStr">
        <is>
          <t>Efetivo Concursado</t>
        </is>
      </c>
      <c r="D285" s="4" t="inlineStr">
        <is>
          <t>SEC-EDU</t>
        </is>
      </c>
      <c r="E285" s="6" t="n">
        <v>5203.1</v>
      </c>
      <c r="F285" s="6">
        <f>E285*0.22</f>
        <v/>
      </c>
      <c r="G285" s="6">
        <f>E285+F285</f>
        <v/>
      </c>
      <c r="H285" s="10" t="n">
        <v>4</v>
      </c>
      <c r="I285" s="7">
        <f>H285/(180*0.714)</f>
        <v/>
      </c>
    </row>
    <row r="286">
      <c r="A286" s="4" t="inlineStr">
        <is>
          <t>SERV-10282</t>
        </is>
      </c>
      <c r="B286" s="5" t="inlineStr">
        <is>
          <t>Professor da Educação Básica (40h)</t>
        </is>
      </c>
      <c r="C286" s="4" t="inlineStr">
        <is>
          <t>Efetivo Concursado</t>
        </is>
      </c>
      <c r="D286" s="4" t="inlineStr">
        <is>
          <t>SEC-EDU</t>
        </is>
      </c>
      <c r="E286" s="6" t="n">
        <v>5793.42</v>
      </c>
      <c r="F286" s="6">
        <f>E286*0.22</f>
        <v/>
      </c>
      <c r="G286" s="6">
        <f>E286+F286</f>
        <v/>
      </c>
      <c r="H286" s="10" t="n">
        <v>6</v>
      </c>
      <c r="I286" s="7">
        <f>H286/(180*0.714)</f>
        <v/>
      </c>
    </row>
    <row r="287">
      <c r="A287" s="4" t="inlineStr">
        <is>
          <t>SERV-10283</t>
        </is>
      </c>
      <c r="B287" s="5" t="inlineStr">
        <is>
          <t>Professor da Educação Básica (40h)</t>
        </is>
      </c>
      <c r="C287" s="4" t="inlineStr">
        <is>
          <t>Efetivo Concursado</t>
        </is>
      </c>
      <c r="D287" s="4" t="inlineStr">
        <is>
          <t>SEC-EDU</t>
        </is>
      </c>
      <c r="E287" s="6" t="n">
        <v>5133.13</v>
      </c>
      <c r="F287" s="6">
        <f>E287*0.22</f>
        <v/>
      </c>
      <c r="G287" s="6">
        <f>E287+F287</f>
        <v/>
      </c>
      <c r="H287" s="10" t="n">
        <v>3</v>
      </c>
      <c r="I287" s="7">
        <f>H287/(180*0.714)</f>
        <v/>
      </c>
    </row>
    <row r="288">
      <c r="A288" s="4" t="inlineStr">
        <is>
          <t>SERV-10284</t>
        </is>
      </c>
      <c r="B288" s="5" t="inlineStr">
        <is>
          <t>Professor da Educação Básica (40h)</t>
        </is>
      </c>
      <c r="C288" s="4" t="inlineStr">
        <is>
          <t>Efetivo Concursado</t>
        </is>
      </c>
      <c r="D288" s="4" t="inlineStr">
        <is>
          <t>SEC-EDU</t>
        </is>
      </c>
      <c r="E288" s="6" t="n">
        <v>5523.6</v>
      </c>
      <c r="F288" s="6">
        <f>E288*0.22</f>
        <v/>
      </c>
      <c r="G288" s="6">
        <f>E288+F288</f>
        <v/>
      </c>
      <c r="H288" s="10" t="n">
        <v>4</v>
      </c>
      <c r="I288" s="7">
        <f>H288/(180*0.714)</f>
        <v/>
      </c>
    </row>
    <row r="289">
      <c r="A289" s="4" t="inlineStr">
        <is>
          <t>SERV-10285</t>
        </is>
      </c>
      <c r="B289" s="5" t="inlineStr">
        <is>
          <t>Professor da Educação Básica (40h)</t>
        </is>
      </c>
      <c r="C289" s="4" t="inlineStr">
        <is>
          <t>Efetivo Concursado</t>
        </is>
      </c>
      <c r="D289" s="4" t="inlineStr">
        <is>
          <t>SEC-EDU</t>
        </is>
      </c>
      <c r="E289" s="6" t="n">
        <v>4971.29</v>
      </c>
      <c r="F289" s="6">
        <f>E289*0.22</f>
        <v/>
      </c>
      <c r="G289" s="6">
        <f>E289+F289</f>
        <v/>
      </c>
      <c r="H289" s="10" t="n">
        <v>7</v>
      </c>
      <c r="I289" s="7">
        <f>H289/(180*0.714)</f>
        <v/>
      </c>
    </row>
    <row r="290">
      <c r="A290" s="4" t="inlineStr">
        <is>
          <t>SERV-10286</t>
        </is>
      </c>
      <c r="B290" s="5" t="inlineStr">
        <is>
          <t>Professor da Educação Básica (40h)</t>
        </is>
      </c>
      <c r="C290" s="4" t="inlineStr">
        <is>
          <t>Efetivo Concursado</t>
        </is>
      </c>
      <c r="D290" s="4" t="inlineStr">
        <is>
          <t>SEC-EDU</t>
        </is>
      </c>
      <c r="E290" s="6" t="n">
        <v>4808.35</v>
      </c>
      <c r="F290" s="6">
        <f>E290*0.22</f>
        <v/>
      </c>
      <c r="G290" s="6">
        <f>E290+F290</f>
        <v/>
      </c>
      <c r="H290" s="10" t="n">
        <v>3</v>
      </c>
      <c r="I290" s="7">
        <f>H290/(180*0.714)</f>
        <v/>
      </c>
    </row>
    <row r="291">
      <c r="A291" s="4" t="inlineStr">
        <is>
          <t>SERV-10287</t>
        </is>
      </c>
      <c r="B291" s="5" t="inlineStr">
        <is>
          <t>Professor da Educação Básica (40h)</t>
        </is>
      </c>
      <c r="C291" s="4" t="inlineStr">
        <is>
          <t>Efetivo Concursado</t>
        </is>
      </c>
      <c r="D291" s="4" t="inlineStr">
        <is>
          <t>SEC-EDU</t>
        </is>
      </c>
      <c r="E291" s="6" t="n">
        <v>5337.44</v>
      </c>
      <c r="F291" s="6">
        <f>E291*0.22</f>
        <v/>
      </c>
      <c r="G291" s="6">
        <f>E291+F291</f>
        <v/>
      </c>
      <c r="H291" s="10" t="n">
        <v>7</v>
      </c>
      <c r="I291" s="7">
        <f>H291/(180*0.714)</f>
        <v/>
      </c>
    </row>
    <row r="292">
      <c r="A292" s="4" t="inlineStr">
        <is>
          <t>SERV-10288</t>
        </is>
      </c>
      <c r="B292" s="5" t="inlineStr">
        <is>
          <t>Professor da Educação Básica (40h)</t>
        </is>
      </c>
      <c r="C292" s="4" t="inlineStr">
        <is>
          <t>Efetivo Concursado</t>
        </is>
      </c>
      <c r="D292" s="4" t="inlineStr">
        <is>
          <t>SEC-EDU</t>
        </is>
      </c>
      <c r="E292" s="6" t="n">
        <v>4902.9</v>
      </c>
      <c r="F292" s="6">
        <f>E292*0.22</f>
        <v/>
      </c>
      <c r="G292" s="6">
        <f>E292+F292</f>
        <v/>
      </c>
      <c r="H292" s="10" t="n">
        <v>7</v>
      </c>
      <c r="I292" s="7">
        <f>H292/(180*0.714)</f>
        <v/>
      </c>
    </row>
    <row r="293">
      <c r="A293" s="4" t="inlineStr">
        <is>
          <t>SERV-10289</t>
        </is>
      </c>
      <c r="B293" s="5" t="inlineStr">
        <is>
          <t>Professor da Educação Básica (40h)</t>
        </is>
      </c>
      <c r="C293" s="4" t="inlineStr">
        <is>
          <t>Efetivo Concursado</t>
        </is>
      </c>
      <c r="D293" s="4" t="inlineStr">
        <is>
          <t>SEC-EDU</t>
        </is>
      </c>
      <c r="E293" s="6" t="n">
        <v>4919.45</v>
      </c>
      <c r="F293" s="6">
        <f>E293*0.22</f>
        <v/>
      </c>
      <c r="G293" s="6">
        <f>E293+F293</f>
        <v/>
      </c>
      <c r="H293" s="10" t="n">
        <v>5</v>
      </c>
      <c r="I293" s="7">
        <f>H293/(180*0.714)</f>
        <v/>
      </c>
    </row>
    <row r="294">
      <c r="A294" s="4" t="inlineStr">
        <is>
          <t>SERV-10290</t>
        </is>
      </c>
      <c r="B294" s="5" t="inlineStr">
        <is>
          <t>Professor da Educação Básica (40h)</t>
        </is>
      </c>
      <c r="C294" s="4" t="inlineStr">
        <is>
          <t>Efetivo Concursado</t>
        </is>
      </c>
      <c r="D294" s="4" t="inlineStr">
        <is>
          <t>SEC-EDU</t>
        </is>
      </c>
      <c r="E294" s="6" t="n">
        <v>5269.48</v>
      </c>
      <c r="F294" s="6">
        <f>E294*0.22</f>
        <v/>
      </c>
      <c r="G294" s="6">
        <f>E294+F294</f>
        <v/>
      </c>
      <c r="H294" s="10" t="n">
        <v>6</v>
      </c>
      <c r="I294" s="7">
        <f>H294/(180*0.714)</f>
        <v/>
      </c>
    </row>
    <row r="295">
      <c r="A295" s="4" t="inlineStr">
        <is>
          <t>SERV-10291</t>
        </is>
      </c>
      <c r="B295" s="5" t="inlineStr">
        <is>
          <t>Professor da Educação Básica (40h)</t>
        </is>
      </c>
      <c r="C295" s="4" t="inlineStr">
        <is>
          <t>Efetivo Concursado</t>
        </is>
      </c>
      <c r="D295" s="4" t="inlineStr">
        <is>
          <t>SEC-EDU</t>
        </is>
      </c>
      <c r="E295" s="6" t="n">
        <v>4848.85</v>
      </c>
      <c r="F295" s="6">
        <f>E295*0.22</f>
        <v/>
      </c>
      <c r="G295" s="6">
        <f>E295+F295</f>
        <v/>
      </c>
      <c r="H295" s="10" t="n">
        <v>7</v>
      </c>
      <c r="I295" s="7">
        <f>H295/(180*0.714)</f>
        <v/>
      </c>
    </row>
    <row r="296">
      <c r="A296" s="4" t="inlineStr">
        <is>
          <t>SERV-10292</t>
        </is>
      </c>
      <c r="B296" s="5" t="inlineStr">
        <is>
          <t>Professor da Educação Básica (40h)</t>
        </is>
      </c>
      <c r="C296" s="4" t="inlineStr">
        <is>
          <t>Efetivo Concursado</t>
        </is>
      </c>
      <c r="D296" s="4" t="inlineStr">
        <is>
          <t>SEC-EDU</t>
        </is>
      </c>
      <c r="E296" s="6" t="n">
        <v>5781.19</v>
      </c>
      <c r="F296" s="6">
        <f>E296*0.22</f>
        <v/>
      </c>
      <c r="G296" s="6">
        <f>E296+F296</f>
        <v/>
      </c>
      <c r="H296" s="10" t="n">
        <v>5</v>
      </c>
      <c r="I296" s="7">
        <f>H296/(180*0.714)</f>
        <v/>
      </c>
    </row>
    <row r="297">
      <c r="A297" s="4" t="inlineStr">
        <is>
          <t>SERV-10293</t>
        </is>
      </c>
      <c r="B297" s="5" t="inlineStr">
        <is>
          <t>Professor da Educação Básica (40h)</t>
        </is>
      </c>
      <c r="C297" s="4" t="inlineStr">
        <is>
          <t>Efetivo Concursado</t>
        </is>
      </c>
      <c r="D297" s="4" t="inlineStr">
        <is>
          <t>SEC-EDU</t>
        </is>
      </c>
      <c r="E297" s="6" t="n">
        <v>5257.55</v>
      </c>
      <c r="F297" s="6">
        <f>E297*0.22</f>
        <v/>
      </c>
      <c r="G297" s="6">
        <f>E297+F297</f>
        <v/>
      </c>
      <c r="H297" s="10" t="n">
        <v>7</v>
      </c>
      <c r="I297" s="7">
        <f>H297/(180*0.714)</f>
        <v/>
      </c>
    </row>
    <row r="298">
      <c r="A298" s="4" t="inlineStr">
        <is>
          <t>SERV-10294</t>
        </is>
      </c>
      <c r="B298" s="5" t="inlineStr">
        <is>
          <t>Professor da Educação Básica (40h)</t>
        </is>
      </c>
      <c r="C298" s="4" t="inlineStr">
        <is>
          <t>Efetivo Concursado</t>
        </is>
      </c>
      <c r="D298" s="4" t="inlineStr">
        <is>
          <t>SEC-EDU</t>
        </is>
      </c>
      <c r="E298" s="6" t="n">
        <v>5648.79</v>
      </c>
      <c r="F298" s="6">
        <f>E298*0.22</f>
        <v/>
      </c>
      <c r="G298" s="6">
        <f>E298+F298</f>
        <v/>
      </c>
      <c r="H298" s="10" t="n">
        <v>5</v>
      </c>
      <c r="I298" s="7">
        <f>H298/(180*0.714)</f>
        <v/>
      </c>
    </row>
    <row r="299">
      <c r="A299" s="4" t="inlineStr">
        <is>
          <t>SERV-10295</t>
        </is>
      </c>
      <c r="B299" s="5" t="inlineStr">
        <is>
          <t>Professor da Educação Básica (40h)</t>
        </is>
      </c>
      <c r="C299" s="4" t="inlineStr">
        <is>
          <t>Efetivo Concursado</t>
        </is>
      </c>
      <c r="D299" s="4" t="inlineStr">
        <is>
          <t>SEC-EDU</t>
        </is>
      </c>
      <c r="E299" s="6" t="n">
        <v>5465.82</v>
      </c>
      <c r="F299" s="6">
        <f>E299*0.22</f>
        <v/>
      </c>
      <c r="G299" s="6">
        <f>E299+F299</f>
        <v/>
      </c>
      <c r="H299" s="10" t="n">
        <v>2</v>
      </c>
      <c r="I299" s="7">
        <f>H299/(180*0.714)</f>
        <v/>
      </c>
    </row>
    <row r="300">
      <c r="A300" s="4" t="inlineStr">
        <is>
          <t>SERV-10296</t>
        </is>
      </c>
      <c r="B300" s="5" t="inlineStr">
        <is>
          <t>Professor da Educação Básica (40h)</t>
        </is>
      </c>
      <c r="C300" s="4" t="inlineStr">
        <is>
          <t>Efetivo Concursado</t>
        </is>
      </c>
      <c r="D300" s="4" t="inlineStr">
        <is>
          <t>SEC-EDU</t>
        </is>
      </c>
      <c r="E300" s="6" t="n">
        <v>5106.01</v>
      </c>
      <c r="F300" s="6">
        <f>E300*0.22</f>
        <v/>
      </c>
      <c r="G300" s="6">
        <f>E300+F300</f>
        <v/>
      </c>
      <c r="H300" s="10" t="n">
        <v>5</v>
      </c>
      <c r="I300" s="7">
        <f>H300/(180*0.714)</f>
        <v/>
      </c>
    </row>
    <row r="301">
      <c r="A301" s="4" t="inlineStr">
        <is>
          <t>SERV-10297</t>
        </is>
      </c>
      <c r="B301" s="5" t="inlineStr">
        <is>
          <t>Professor da Educação Básica (40h)</t>
        </is>
      </c>
      <c r="C301" s="4" t="inlineStr">
        <is>
          <t>Efetivo Concursado</t>
        </is>
      </c>
      <c r="D301" s="4" t="inlineStr">
        <is>
          <t>SEC-EDU</t>
        </is>
      </c>
      <c r="E301" s="6" t="n">
        <v>5437.34</v>
      </c>
      <c r="F301" s="6">
        <f>E301*0.22</f>
        <v/>
      </c>
      <c r="G301" s="6">
        <f>E301+F301</f>
        <v/>
      </c>
      <c r="H301" s="10" t="n">
        <v>6</v>
      </c>
      <c r="I301" s="7">
        <f>H301/(180*0.714)</f>
        <v/>
      </c>
    </row>
    <row r="302">
      <c r="A302" s="4" t="inlineStr">
        <is>
          <t>SERV-10298</t>
        </is>
      </c>
      <c r="B302" s="5" t="inlineStr">
        <is>
          <t>Professor da Educação Básica (40h)</t>
        </is>
      </c>
      <c r="C302" s="4" t="inlineStr">
        <is>
          <t>Efetivo Concursado</t>
        </is>
      </c>
      <c r="D302" s="4" t="inlineStr">
        <is>
          <t>SEC-EDU</t>
        </is>
      </c>
      <c r="E302" s="6" t="n">
        <v>5681.03</v>
      </c>
      <c r="F302" s="6">
        <f>E302*0.22</f>
        <v/>
      </c>
      <c r="G302" s="6">
        <f>E302+F302</f>
        <v/>
      </c>
      <c r="H302" s="10" t="n">
        <v>7</v>
      </c>
      <c r="I302" s="7">
        <f>H302/(180*0.714)</f>
        <v/>
      </c>
    </row>
    <row r="303">
      <c r="A303" s="4" t="inlineStr">
        <is>
          <t>SERV-10299</t>
        </is>
      </c>
      <c r="B303" s="5" t="inlineStr">
        <is>
          <t>Professor da Educação Básica (40h)</t>
        </is>
      </c>
      <c r="C303" s="4" t="inlineStr">
        <is>
          <t>Efetivo Concursado</t>
        </is>
      </c>
      <c r="D303" s="4" t="inlineStr">
        <is>
          <t>SEC-EDU</t>
        </is>
      </c>
      <c r="E303" s="6" t="n">
        <v>5807.37</v>
      </c>
      <c r="F303" s="6">
        <f>E303*0.22</f>
        <v/>
      </c>
      <c r="G303" s="6">
        <f>E303+F303</f>
        <v/>
      </c>
      <c r="H303" s="10" t="n">
        <v>4</v>
      </c>
      <c r="I303" s="7">
        <f>H303/(180*0.714)</f>
        <v/>
      </c>
    </row>
    <row r="304">
      <c r="A304" s="4" t="inlineStr">
        <is>
          <t>SERV-10300</t>
        </is>
      </c>
      <c r="B304" s="5" t="inlineStr">
        <is>
          <t>Professor da Educação Básica (40h)</t>
        </is>
      </c>
      <c r="C304" s="4" t="inlineStr">
        <is>
          <t>Efetivo Concursado</t>
        </is>
      </c>
      <c r="D304" s="4" t="inlineStr">
        <is>
          <t>SEC-EDU</t>
        </is>
      </c>
      <c r="E304" s="6" t="n">
        <v>5292.74</v>
      </c>
      <c r="F304" s="6">
        <f>E304*0.22</f>
        <v/>
      </c>
      <c r="G304" s="6">
        <f>E304+F304</f>
        <v/>
      </c>
      <c r="H304" s="10" t="n">
        <v>6</v>
      </c>
      <c r="I304" s="7">
        <f>H304/(180*0.714)</f>
        <v/>
      </c>
    </row>
    <row r="305">
      <c r="A305" s="4" t="inlineStr">
        <is>
          <t>SERV-10301</t>
        </is>
      </c>
      <c r="B305" s="5" t="inlineStr">
        <is>
          <t>Professor da Educação Básica (40h)</t>
        </is>
      </c>
      <c r="C305" s="4" t="inlineStr">
        <is>
          <t>Efetivo Concursado</t>
        </is>
      </c>
      <c r="D305" s="4" t="inlineStr">
        <is>
          <t>SEC-EDU</t>
        </is>
      </c>
      <c r="E305" s="6" t="n">
        <v>5522.33</v>
      </c>
      <c r="F305" s="6">
        <f>E305*0.22</f>
        <v/>
      </c>
      <c r="G305" s="6">
        <f>E305+F305</f>
        <v/>
      </c>
      <c r="H305" s="10" t="n">
        <v>5</v>
      </c>
      <c r="I305" s="7">
        <f>H305/(180*0.714)</f>
        <v/>
      </c>
    </row>
    <row r="306">
      <c r="A306" s="4" t="inlineStr">
        <is>
          <t>SERV-10302</t>
        </is>
      </c>
      <c r="B306" s="5" t="inlineStr">
        <is>
          <t>Professor da Educação Básica (40h)</t>
        </is>
      </c>
      <c r="C306" s="4" t="inlineStr">
        <is>
          <t>Efetivo Concursado</t>
        </is>
      </c>
      <c r="D306" s="4" t="inlineStr">
        <is>
          <t>SEC-EDU</t>
        </is>
      </c>
      <c r="E306" s="6" t="n">
        <v>5648.7</v>
      </c>
      <c r="F306" s="6">
        <f>E306*0.22</f>
        <v/>
      </c>
      <c r="G306" s="6">
        <f>E306+F306</f>
        <v/>
      </c>
      <c r="H306" s="10" t="n">
        <v>5</v>
      </c>
      <c r="I306" s="7">
        <f>H306/(180*0.714)</f>
        <v/>
      </c>
    </row>
    <row r="307">
      <c r="A307" s="4" t="inlineStr">
        <is>
          <t>SERV-10303</t>
        </is>
      </c>
      <c r="B307" s="5" t="inlineStr">
        <is>
          <t>Professor da Educação Básica (40h)</t>
        </is>
      </c>
      <c r="C307" s="4" t="inlineStr">
        <is>
          <t>Efetivo Concursado</t>
        </is>
      </c>
      <c r="D307" s="4" t="inlineStr">
        <is>
          <t>SEC-EDU</t>
        </is>
      </c>
      <c r="E307" s="6" t="n">
        <v>4800.68</v>
      </c>
      <c r="F307" s="6">
        <f>E307*0.22</f>
        <v/>
      </c>
      <c r="G307" s="6">
        <f>E307+F307</f>
        <v/>
      </c>
      <c r="H307" s="10" t="n">
        <v>3</v>
      </c>
      <c r="I307" s="7">
        <f>H307/(180*0.714)</f>
        <v/>
      </c>
    </row>
    <row r="308">
      <c r="A308" s="4" t="inlineStr">
        <is>
          <t>SERV-10304</t>
        </is>
      </c>
      <c r="B308" s="5" t="inlineStr">
        <is>
          <t>Professor da Educação Básica (40h)</t>
        </is>
      </c>
      <c r="C308" s="4" t="inlineStr">
        <is>
          <t>Efetivo Concursado</t>
        </is>
      </c>
      <c r="D308" s="4" t="inlineStr">
        <is>
          <t>SEC-EDU</t>
        </is>
      </c>
      <c r="E308" s="6" t="n">
        <v>4874.85</v>
      </c>
      <c r="F308" s="6">
        <f>E308*0.22</f>
        <v/>
      </c>
      <c r="G308" s="6">
        <f>E308+F308</f>
        <v/>
      </c>
      <c r="H308" s="10" t="n">
        <v>3</v>
      </c>
      <c r="I308" s="7">
        <f>H308/(180*0.714)</f>
        <v/>
      </c>
    </row>
    <row r="309">
      <c r="A309" s="4" t="inlineStr">
        <is>
          <t>SERV-10305</t>
        </is>
      </c>
      <c r="B309" s="5" t="inlineStr">
        <is>
          <t>Professor da Educação Básica (40h)</t>
        </is>
      </c>
      <c r="C309" s="4" t="inlineStr">
        <is>
          <t>Efetivo Concursado</t>
        </is>
      </c>
      <c r="D309" s="4" t="inlineStr">
        <is>
          <t>SEC-EDU</t>
        </is>
      </c>
      <c r="E309" s="6" t="n">
        <v>5411.89</v>
      </c>
      <c r="F309" s="6">
        <f>E309*0.22</f>
        <v/>
      </c>
      <c r="G309" s="6">
        <f>E309+F309</f>
        <v/>
      </c>
      <c r="H309" s="10" t="n">
        <v>4</v>
      </c>
      <c r="I309" s="7">
        <f>H309/(180*0.714)</f>
        <v/>
      </c>
    </row>
    <row r="310">
      <c r="A310" s="4" t="inlineStr">
        <is>
          <t>SERV-10306</t>
        </is>
      </c>
      <c r="B310" s="5" t="inlineStr">
        <is>
          <t>Professor da Educação Básica (40h)</t>
        </is>
      </c>
      <c r="C310" s="4" t="inlineStr">
        <is>
          <t>Efetivo Concursado</t>
        </is>
      </c>
      <c r="D310" s="4" t="inlineStr">
        <is>
          <t>SEC-EDU</t>
        </is>
      </c>
      <c r="E310" s="6" t="n">
        <v>5801.32</v>
      </c>
      <c r="F310" s="6">
        <f>E310*0.22</f>
        <v/>
      </c>
      <c r="G310" s="6">
        <f>E310+F310</f>
        <v/>
      </c>
      <c r="H310" s="10" t="n">
        <v>4</v>
      </c>
      <c r="I310" s="7">
        <f>H310/(180*0.714)</f>
        <v/>
      </c>
    </row>
    <row r="311">
      <c r="A311" s="4" t="inlineStr">
        <is>
          <t>SERV-10307</t>
        </is>
      </c>
      <c r="B311" s="5" t="inlineStr">
        <is>
          <t>Professor da Educação Básica (40h)</t>
        </is>
      </c>
      <c r="C311" s="4" t="inlineStr">
        <is>
          <t>Efetivo Concursado</t>
        </is>
      </c>
      <c r="D311" s="4" t="inlineStr">
        <is>
          <t>SEC-EDU</t>
        </is>
      </c>
      <c r="E311" s="6" t="n">
        <v>4981.73</v>
      </c>
      <c r="F311" s="6">
        <f>E311*0.22</f>
        <v/>
      </c>
      <c r="G311" s="6">
        <f>E311+F311</f>
        <v/>
      </c>
      <c r="H311" s="10" t="n">
        <v>6</v>
      </c>
      <c r="I311" s="7">
        <f>H311/(180*0.714)</f>
        <v/>
      </c>
    </row>
    <row r="312">
      <c r="A312" s="4" t="inlineStr">
        <is>
          <t>SERV-10308</t>
        </is>
      </c>
      <c r="B312" s="5" t="inlineStr">
        <is>
          <t>Professor da Educação Básica (40h)</t>
        </is>
      </c>
      <c r="C312" s="4" t="inlineStr">
        <is>
          <t>Efetivo Concursado</t>
        </is>
      </c>
      <c r="D312" s="4" t="inlineStr">
        <is>
          <t>SEC-EDU</t>
        </is>
      </c>
      <c r="E312" s="6" t="n">
        <v>5330.69</v>
      </c>
      <c r="F312" s="6">
        <f>E312*0.22</f>
        <v/>
      </c>
      <c r="G312" s="6">
        <f>E312+F312</f>
        <v/>
      </c>
      <c r="H312" s="10" t="n">
        <v>7</v>
      </c>
      <c r="I312" s="7">
        <f>H312/(180*0.714)</f>
        <v/>
      </c>
    </row>
    <row r="313">
      <c r="A313" s="4" t="inlineStr">
        <is>
          <t>SERV-10309</t>
        </is>
      </c>
      <c r="B313" s="5" t="inlineStr">
        <is>
          <t>Professor da Educação Básica (40h)</t>
        </is>
      </c>
      <c r="C313" s="4" t="inlineStr">
        <is>
          <t>Efetivo Concursado</t>
        </is>
      </c>
      <c r="D313" s="4" t="inlineStr">
        <is>
          <t>SEC-EDU</t>
        </is>
      </c>
      <c r="E313" s="6" t="n">
        <v>5784.21</v>
      </c>
      <c r="F313" s="6">
        <f>E313*0.22</f>
        <v/>
      </c>
      <c r="G313" s="6">
        <f>E313+F313</f>
        <v/>
      </c>
      <c r="H313" s="10" t="n">
        <v>6</v>
      </c>
      <c r="I313" s="7">
        <f>H313/(180*0.714)</f>
        <v/>
      </c>
    </row>
    <row r="314">
      <c r="A314" s="4" t="inlineStr">
        <is>
          <t>SERV-10310</t>
        </is>
      </c>
      <c r="B314" s="5" t="inlineStr">
        <is>
          <t>Professor da Educação Básica (40h)</t>
        </is>
      </c>
      <c r="C314" s="4" t="inlineStr">
        <is>
          <t>Efetivo Concursado</t>
        </is>
      </c>
      <c r="D314" s="4" t="inlineStr">
        <is>
          <t>SEC-EDU</t>
        </is>
      </c>
      <c r="E314" s="6" t="n">
        <v>5462.64</v>
      </c>
      <c r="F314" s="6">
        <f>E314*0.22</f>
        <v/>
      </c>
      <c r="G314" s="6">
        <f>E314+F314</f>
        <v/>
      </c>
      <c r="H314" s="10" t="n">
        <v>4</v>
      </c>
      <c r="I314" s="7">
        <f>H314/(180*0.714)</f>
        <v/>
      </c>
    </row>
    <row r="315">
      <c r="A315" s="4" t="inlineStr">
        <is>
          <t>SERV-10311</t>
        </is>
      </c>
      <c r="B315" s="5" t="inlineStr">
        <is>
          <t>Professor da Educação Básica (40h)</t>
        </is>
      </c>
      <c r="C315" s="4" t="inlineStr">
        <is>
          <t>Efetivo Concursado</t>
        </is>
      </c>
      <c r="D315" s="4" t="inlineStr">
        <is>
          <t>SEC-EDU</t>
        </is>
      </c>
      <c r="E315" s="6" t="n">
        <v>5307.07</v>
      </c>
      <c r="F315" s="6">
        <f>E315*0.22</f>
        <v/>
      </c>
      <c r="G315" s="6">
        <f>E315+F315</f>
        <v/>
      </c>
      <c r="H315" s="10" t="n">
        <v>3</v>
      </c>
      <c r="I315" s="7">
        <f>H315/(180*0.714)</f>
        <v/>
      </c>
    </row>
    <row r="316">
      <c r="A316" s="4" t="inlineStr">
        <is>
          <t>SERV-10312</t>
        </is>
      </c>
      <c r="B316" s="5" t="inlineStr">
        <is>
          <t>Professor da Educação Básica (40h)</t>
        </is>
      </c>
      <c r="C316" s="4" t="inlineStr">
        <is>
          <t>Efetivo Concursado</t>
        </is>
      </c>
      <c r="D316" s="4" t="inlineStr">
        <is>
          <t>SEC-EDU</t>
        </is>
      </c>
      <c r="E316" s="6" t="n">
        <v>5320.72</v>
      </c>
      <c r="F316" s="6">
        <f>E316*0.22</f>
        <v/>
      </c>
      <c r="G316" s="6">
        <f>E316+F316</f>
        <v/>
      </c>
      <c r="H316" s="10" t="n">
        <v>7</v>
      </c>
      <c r="I316" s="7">
        <f>H316/(180*0.714)</f>
        <v/>
      </c>
    </row>
    <row r="317">
      <c r="A317" s="4" t="inlineStr">
        <is>
          <t>SERV-10313</t>
        </is>
      </c>
      <c r="B317" s="5" t="inlineStr">
        <is>
          <t>Professor da Educação Básica (40h)</t>
        </is>
      </c>
      <c r="C317" s="4" t="inlineStr">
        <is>
          <t>Efetivo Concursado</t>
        </is>
      </c>
      <c r="D317" s="4" t="inlineStr">
        <is>
          <t>SEC-EDU</t>
        </is>
      </c>
      <c r="E317" s="6" t="n">
        <v>5284.41</v>
      </c>
      <c r="F317" s="6">
        <f>E317*0.22</f>
        <v/>
      </c>
      <c r="G317" s="6">
        <f>E317+F317</f>
        <v/>
      </c>
      <c r="H317" s="10" t="n">
        <v>2</v>
      </c>
      <c r="I317" s="7">
        <f>H317/(180*0.714)</f>
        <v/>
      </c>
    </row>
    <row r="318">
      <c r="A318" s="4" t="inlineStr">
        <is>
          <t>SERV-10314</t>
        </is>
      </c>
      <c r="B318" s="5" t="inlineStr">
        <is>
          <t>Professor da Educação Básica (40h)</t>
        </is>
      </c>
      <c r="C318" s="4" t="inlineStr">
        <is>
          <t>Efetivo Concursado</t>
        </is>
      </c>
      <c r="D318" s="4" t="inlineStr">
        <is>
          <t>SEC-EDU</t>
        </is>
      </c>
      <c r="E318" s="6" t="n">
        <v>4820.37</v>
      </c>
      <c r="F318" s="6">
        <f>E318*0.22</f>
        <v/>
      </c>
      <c r="G318" s="6">
        <f>E318+F318</f>
        <v/>
      </c>
      <c r="H318" s="10" t="n">
        <v>4</v>
      </c>
      <c r="I318" s="7">
        <f>H318/(180*0.714)</f>
        <v/>
      </c>
    </row>
    <row r="319">
      <c r="A319" s="4" t="inlineStr">
        <is>
          <t>SERV-10315</t>
        </is>
      </c>
      <c r="B319" s="5" t="inlineStr">
        <is>
          <t>Professor da Educação Básica (40h)</t>
        </is>
      </c>
      <c r="C319" s="4" t="inlineStr">
        <is>
          <t>Efetivo Concursado</t>
        </is>
      </c>
      <c r="D319" s="4" t="inlineStr">
        <is>
          <t>SEC-EDU</t>
        </is>
      </c>
      <c r="E319" s="6" t="n">
        <v>5803.44</v>
      </c>
      <c r="F319" s="6">
        <f>E319*0.22</f>
        <v/>
      </c>
      <c r="G319" s="6">
        <f>E319+F319</f>
        <v/>
      </c>
      <c r="H319" s="10" t="n">
        <v>5</v>
      </c>
      <c r="I319" s="7">
        <f>H319/(180*0.714)</f>
        <v/>
      </c>
    </row>
    <row r="320">
      <c r="A320" s="4" t="inlineStr">
        <is>
          <t>SERV-10316</t>
        </is>
      </c>
      <c r="B320" s="5" t="inlineStr">
        <is>
          <t>Professor da Educação Básica (40h)</t>
        </is>
      </c>
      <c r="C320" s="4" t="inlineStr">
        <is>
          <t>Efetivo Concursado</t>
        </is>
      </c>
      <c r="D320" s="4" t="inlineStr">
        <is>
          <t>SEC-EDU</t>
        </is>
      </c>
      <c r="E320" s="6" t="n">
        <v>5304.94</v>
      </c>
      <c r="F320" s="6">
        <f>E320*0.22</f>
        <v/>
      </c>
      <c r="G320" s="6">
        <f>E320+F320</f>
        <v/>
      </c>
      <c r="H320" s="10" t="n">
        <v>5</v>
      </c>
      <c r="I320" s="7">
        <f>H320/(180*0.714)</f>
        <v/>
      </c>
    </row>
    <row r="321">
      <c r="A321" s="4" t="inlineStr">
        <is>
          <t>SERV-10317</t>
        </is>
      </c>
      <c r="B321" s="5" t="inlineStr">
        <is>
          <t>Professor da Educação Básica (40h)</t>
        </is>
      </c>
      <c r="C321" s="4" t="inlineStr">
        <is>
          <t>Efetivo Concursado</t>
        </is>
      </c>
      <c r="D321" s="4" t="inlineStr">
        <is>
          <t>SEC-EDU</t>
        </is>
      </c>
      <c r="E321" s="6" t="n">
        <v>5134.96</v>
      </c>
      <c r="F321" s="6">
        <f>E321*0.22</f>
        <v/>
      </c>
      <c r="G321" s="6">
        <f>E321+F321</f>
        <v/>
      </c>
      <c r="H321" s="10" t="n">
        <v>7</v>
      </c>
      <c r="I321" s="7">
        <f>H321/(180*0.714)</f>
        <v/>
      </c>
    </row>
    <row r="322">
      <c r="A322" s="4" t="inlineStr">
        <is>
          <t>SERV-10318</t>
        </is>
      </c>
      <c r="B322" s="5" t="inlineStr">
        <is>
          <t>Professor da Educação Básica (40h)</t>
        </is>
      </c>
      <c r="C322" s="4" t="inlineStr">
        <is>
          <t>Efetivo Concursado</t>
        </is>
      </c>
      <c r="D322" s="4" t="inlineStr">
        <is>
          <t>SEC-EDU</t>
        </is>
      </c>
      <c r="E322" s="6" t="n">
        <v>5215.96</v>
      </c>
      <c r="F322" s="6">
        <f>E322*0.22</f>
        <v/>
      </c>
      <c r="G322" s="6">
        <f>E322+F322</f>
        <v/>
      </c>
      <c r="H322" s="10" t="n">
        <v>7</v>
      </c>
      <c r="I322" s="7">
        <f>H322/(180*0.714)</f>
        <v/>
      </c>
    </row>
    <row r="323">
      <c r="A323" s="4" t="inlineStr">
        <is>
          <t>SERV-10319</t>
        </is>
      </c>
      <c r="B323" s="5" t="inlineStr">
        <is>
          <t>Professor da Educação Básica (40h)</t>
        </is>
      </c>
      <c r="C323" s="4" t="inlineStr">
        <is>
          <t>Efetivo Concursado</t>
        </is>
      </c>
      <c r="D323" s="4" t="inlineStr">
        <is>
          <t>SEC-EDU</t>
        </is>
      </c>
      <c r="E323" s="6" t="n">
        <v>5752.99</v>
      </c>
      <c r="F323" s="6">
        <f>E323*0.22</f>
        <v/>
      </c>
      <c r="G323" s="6">
        <f>E323+F323</f>
        <v/>
      </c>
      <c r="H323" s="10" t="n">
        <v>2</v>
      </c>
      <c r="I323" s="7">
        <f>H323/(180*0.714)</f>
        <v/>
      </c>
    </row>
    <row r="324">
      <c r="A324" s="4" t="inlineStr">
        <is>
          <t>SERV-10320</t>
        </is>
      </c>
      <c r="B324" s="5" t="inlineStr">
        <is>
          <t>Professor da Educação Básica (40h)</t>
        </is>
      </c>
      <c r="C324" s="4" t="inlineStr">
        <is>
          <t>Efetivo Concursado</t>
        </is>
      </c>
      <c r="D324" s="4" t="inlineStr">
        <is>
          <t>SEC-EDU</t>
        </is>
      </c>
      <c r="E324" s="6" t="n">
        <v>5221.28</v>
      </c>
      <c r="F324" s="6">
        <f>E324*0.22</f>
        <v/>
      </c>
      <c r="G324" s="6">
        <f>E324+F324</f>
        <v/>
      </c>
      <c r="H324" s="10" t="n">
        <v>7</v>
      </c>
      <c r="I324" s="7">
        <f>H324/(180*0.714)</f>
        <v/>
      </c>
    </row>
    <row r="325">
      <c r="A325" s="4" t="inlineStr">
        <is>
          <t>SERV-10321</t>
        </is>
      </c>
      <c r="B325" s="5" t="inlineStr">
        <is>
          <t>Professor da Educação Básica (40h)</t>
        </is>
      </c>
      <c r="C325" s="4" t="inlineStr">
        <is>
          <t>Efetivo Concursado</t>
        </is>
      </c>
      <c r="D325" s="4" t="inlineStr">
        <is>
          <t>SEC-EDU</t>
        </is>
      </c>
      <c r="E325" s="6" t="n">
        <v>5523.2</v>
      </c>
      <c r="F325" s="6">
        <f>E325*0.22</f>
        <v/>
      </c>
      <c r="G325" s="6">
        <f>E325+F325</f>
        <v/>
      </c>
      <c r="H325" s="10" t="n">
        <v>7</v>
      </c>
      <c r="I325" s="7">
        <f>H325/(180*0.714)</f>
        <v/>
      </c>
    </row>
    <row r="326">
      <c r="A326" s="4" t="inlineStr">
        <is>
          <t>SERV-10322</t>
        </is>
      </c>
      <c r="B326" s="5" t="inlineStr">
        <is>
          <t>Professor da Educação Básica (40h)</t>
        </is>
      </c>
      <c r="C326" s="4" t="inlineStr">
        <is>
          <t>Efetivo Concursado</t>
        </is>
      </c>
      <c r="D326" s="4" t="inlineStr">
        <is>
          <t>SEC-EDU</t>
        </is>
      </c>
      <c r="E326" s="6" t="n">
        <v>5374.28</v>
      </c>
      <c r="F326" s="6">
        <f>E326*0.22</f>
        <v/>
      </c>
      <c r="G326" s="6">
        <f>E326+F326</f>
        <v/>
      </c>
      <c r="H326" s="10" t="n">
        <v>4</v>
      </c>
      <c r="I326" s="7">
        <f>H326/(180*0.714)</f>
        <v/>
      </c>
    </row>
    <row r="327">
      <c r="A327" s="4" t="inlineStr">
        <is>
          <t>SERV-10323</t>
        </is>
      </c>
      <c r="B327" s="5" t="inlineStr">
        <is>
          <t>Professor da Educação Básica (40h)</t>
        </is>
      </c>
      <c r="C327" s="4" t="inlineStr">
        <is>
          <t>Efetivo Concursado</t>
        </is>
      </c>
      <c r="D327" s="4" t="inlineStr">
        <is>
          <t>SEC-EDU</t>
        </is>
      </c>
      <c r="E327" s="6" t="n">
        <v>5533.68</v>
      </c>
      <c r="F327" s="6">
        <f>E327*0.22</f>
        <v/>
      </c>
      <c r="G327" s="6">
        <f>E327+F327</f>
        <v/>
      </c>
      <c r="H327" s="10" t="n">
        <v>7</v>
      </c>
      <c r="I327" s="7">
        <f>H327/(180*0.714)</f>
        <v/>
      </c>
    </row>
    <row r="328">
      <c r="A328" s="4" t="inlineStr">
        <is>
          <t>SERV-10324</t>
        </is>
      </c>
      <c r="B328" s="5" t="inlineStr">
        <is>
          <t>Professor da Educação Básica (40h)</t>
        </is>
      </c>
      <c r="C328" s="4" t="inlineStr">
        <is>
          <t>Efetivo Concursado</t>
        </is>
      </c>
      <c r="D328" s="4" t="inlineStr">
        <is>
          <t>SEC-EDU</t>
        </is>
      </c>
      <c r="E328" s="6" t="n">
        <v>5477.77</v>
      </c>
      <c r="F328" s="6">
        <f>E328*0.22</f>
        <v/>
      </c>
      <c r="G328" s="6">
        <f>E328+F328</f>
        <v/>
      </c>
      <c r="H328" s="10" t="n">
        <v>7</v>
      </c>
      <c r="I328" s="7">
        <f>H328/(180*0.714)</f>
        <v/>
      </c>
    </row>
    <row r="329">
      <c r="A329" s="4" t="inlineStr">
        <is>
          <t>SERV-10325</t>
        </is>
      </c>
      <c r="B329" s="5" t="inlineStr">
        <is>
          <t>Professor da Educação Básica (40h)</t>
        </is>
      </c>
      <c r="C329" s="4" t="inlineStr">
        <is>
          <t>Efetivo Concursado</t>
        </is>
      </c>
      <c r="D329" s="4" t="inlineStr">
        <is>
          <t>SEC-EDU</t>
        </is>
      </c>
      <c r="E329" s="6" t="n">
        <v>5806.21</v>
      </c>
      <c r="F329" s="6">
        <f>E329*0.22</f>
        <v/>
      </c>
      <c r="G329" s="6">
        <f>E329+F329</f>
        <v/>
      </c>
      <c r="H329" s="10" t="n">
        <v>3</v>
      </c>
      <c r="I329" s="7">
        <f>H329/(180*0.714)</f>
        <v/>
      </c>
    </row>
    <row r="330">
      <c r="A330" s="4" t="inlineStr">
        <is>
          <t>SERV-10326</t>
        </is>
      </c>
      <c r="B330" s="5" t="inlineStr">
        <is>
          <t>Professor da Educação Básica (40h)</t>
        </is>
      </c>
      <c r="C330" s="4" t="inlineStr">
        <is>
          <t>Efetivo Concursado</t>
        </is>
      </c>
      <c r="D330" s="4" t="inlineStr">
        <is>
          <t>SEC-EDU</t>
        </is>
      </c>
      <c r="E330" s="6" t="n">
        <v>5756.94</v>
      </c>
      <c r="F330" s="6">
        <f>E330*0.22</f>
        <v/>
      </c>
      <c r="G330" s="6">
        <f>E330+F330</f>
        <v/>
      </c>
      <c r="H330" s="10" t="n">
        <v>2</v>
      </c>
      <c r="I330" s="7">
        <f>H330/(180*0.714)</f>
        <v/>
      </c>
    </row>
    <row r="331">
      <c r="A331" s="4" t="inlineStr">
        <is>
          <t>SERV-10327</t>
        </is>
      </c>
      <c r="B331" s="5" t="inlineStr">
        <is>
          <t>Professor da Educação Básica (40h)</t>
        </is>
      </c>
      <c r="C331" s="4" t="inlineStr">
        <is>
          <t>Efetivo Concursado</t>
        </is>
      </c>
      <c r="D331" s="4" t="inlineStr">
        <is>
          <t>SEC-EDU</t>
        </is>
      </c>
      <c r="E331" s="6" t="n">
        <v>5201.67</v>
      </c>
      <c r="F331" s="6">
        <f>E331*0.22</f>
        <v/>
      </c>
      <c r="G331" s="6">
        <f>E331+F331</f>
        <v/>
      </c>
      <c r="H331" s="10" t="n">
        <v>7</v>
      </c>
      <c r="I331" s="7">
        <f>H331/(180*0.714)</f>
        <v/>
      </c>
    </row>
    <row r="332">
      <c r="A332" s="4" t="inlineStr">
        <is>
          <t>SERV-10328</t>
        </is>
      </c>
      <c r="B332" s="5" t="inlineStr">
        <is>
          <t>Professor da Educação Básica (40h)</t>
        </is>
      </c>
      <c r="C332" s="4" t="inlineStr">
        <is>
          <t>Efetivo Concursado</t>
        </is>
      </c>
      <c r="D332" s="4" t="inlineStr">
        <is>
          <t>SEC-EDU</t>
        </is>
      </c>
      <c r="E332" s="6" t="n">
        <v>5822.45</v>
      </c>
      <c r="F332" s="6">
        <f>E332*0.22</f>
        <v/>
      </c>
      <c r="G332" s="6">
        <f>E332+F332</f>
        <v/>
      </c>
      <c r="H332" s="10" t="n">
        <v>5</v>
      </c>
      <c r="I332" s="7">
        <f>H332/(180*0.714)</f>
        <v/>
      </c>
    </row>
    <row r="333">
      <c r="A333" s="4" t="inlineStr">
        <is>
          <t>SERV-10329</t>
        </is>
      </c>
      <c r="B333" s="5" t="inlineStr">
        <is>
          <t>Professor da Educação Básica (40h)</t>
        </is>
      </c>
      <c r="C333" s="4" t="inlineStr">
        <is>
          <t>Efetivo Concursado</t>
        </is>
      </c>
      <c r="D333" s="4" t="inlineStr">
        <is>
          <t>SEC-EDU</t>
        </is>
      </c>
      <c r="E333" s="6" t="n">
        <v>5387.99</v>
      </c>
      <c r="F333" s="6">
        <f>E333*0.22</f>
        <v/>
      </c>
      <c r="G333" s="6">
        <f>E333+F333</f>
        <v/>
      </c>
      <c r="H333" s="10" t="n">
        <v>6</v>
      </c>
      <c r="I333" s="7">
        <f>H333/(180*0.714)</f>
        <v/>
      </c>
    </row>
    <row r="334">
      <c r="A334" s="4" t="inlineStr">
        <is>
          <t>SERV-10330</t>
        </is>
      </c>
      <c r="B334" s="5" t="inlineStr">
        <is>
          <t>Professor da Educação Básica (40h)</t>
        </is>
      </c>
      <c r="C334" s="4" t="inlineStr">
        <is>
          <t>Efetivo Concursado</t>
        </is>
      </c>
      <c r="D334" s="4" t="inlineStr">
        <is>
          <t>SEC-EDU</t>
        </is>
      </c>
      <c r="E334" s="6" t="n">
        <v>5735.29</v>
      </c>
      <c r="F334" s="6">
        <f>E334*0.22</f>
        <v/>
      </c>
      <c r="G334" s="6">
        <f>E334+F334</f>
        <v/>
      </c>
      <c r="H334" s="10" t="n">
        <v>7</v>
      </c>
      <c r="I334" s="7">
        <f>H334/(180*0.714)</f>
        <v/>
      </c>
    </row>
    <row r="335">
      <c r="A335" s="4" t="inlineStr">
        <is>
          <t>SERV-10331</t>
        </is>
      </c>
      <c r="B335" s="5" t="inlineStr">
        <is>
          <t>Professor da Educação Básica (40h)</t>
        </is>
      </c>
      <c r="C335" s="4" t="inlineStr">
        <is>
          <t>Efetivo Concursado</t>
        </is>
      </c>
      <c r="D335" s="4" t="inlineStr">
        <is>
          <t>SEC-EDU</t>
        </is>
      </c>
      <c r="E335" s="6" t="n">
        <v>5132</v>
      </c>
      <c r="F335" s="6">
        <f>E335*0.22</f>
        <v/>
      </c>
      <c r="G335" s="6">
        <f>E335+F335</f>
        <v/>
      </c>
      <c r="H335" s="10" t="n">
        <v>5</v>
      </c>
      <c r="I335" s="7">
        <f>H335/(180*0.714)</f>
        <v/>
      </c>
    </row>
    <row r="336">
      <c r="A336" s="4" t="inlineStr">
        <is>
          <t>SERV-10332</t>
        </is>
      </c>
      <c r="B336" s="5" t="inlineStr">
        <is>
          <t>Professor da Educação Básica (40h)</t>
        </is>
      </c>
      <c r="C336" s="4" t="inlineStr">
        <is>
          <t>Efetivo Concursado</t>
        </is>
      </c>
      <c r="D336" s="4" t="inlineStr">
        <is>
          <t>SEC-EDU</t>
        </is>
      </c>
      <c r="E336" s="6" t="n">
        <v>5721.22</v>
      </c>
      <c r="F336" s="6">
        <f>E336*0.22</f>
        <v/>
      </c>
      <c r="G336" s="6">
        <f>E336+F336</f>
        <v/>
      </c>
      <c r="H336" s="10" t="n">
        <v>4</v>
      </c>
      <c r="I336" s="7">
        <f>H336/(180*0.714)</f>
        <v/>
      </c>
    </row>
    <row r="337">
      <c r="A337" s="4" t="inlineStr">
        <is>
          <t>SERV-10333</t>
        </is>
      </c>
      <c r="B337" s="5" t="inlineStr">
        <is>
          <t>Professor da Educação Básica (40h)</t>
        </is>
      </c>
      <c r="C337" s="4" t="inlineStr">
        <is>
          <t>Efetivo Concursado</t>
        </is>
      </c>
      <c r="D337" s="4" t="inlineStr">
        <is>
          <t>SEC-EDU</t>
        </is>
      </c>
      <c r="E337" s="6" t="n">
        <v>5731.39</v>
      </c>
      <c r="F337" s="6">
        <f>E337*0.22</f>
        <v/>
      </c>
      <c r="G337" s="6">
        <f>E337+F337</f>
        <v/>
      </c>
      <c r="H337" s="10" t="n">
        <v>4</v>
      </c>
      <c r="I337" s="7">
        <f>H337/(180*0.714)</f>
        <v/>
      </c>
    </row>
    <row r="338">
      <c r="A338" s="4" t="inlineStr">
        <is>
          <t>SERV-10334</t>
        </is>
      </c>
      <c r="B338" s="5" t="inlineStr">
        <is>
          <t>Professor da Educação Básica (40h)</t>
        </is>
      </c>
      <c r="C338" s="4" t="inlineStr">
        <is>
          <t>Efetivo Concursado</t>
        </is>
      </c>
      <c r="D338" s="4" t="inlineStr">
        <is>
          <t>SEC-EDU</t>
        </is>
      </c>
      <c r="E338" s="6" t="n">
        <v>5632.89</v>
      </c>
      <c r="F338" s="6">
        <f>E338*0.22</f>
        <v/>
      </c>
      <c r="G338" s="6">
        <f>E338+F338</f>
        <v/>
      </c>
      <c r="H338" s="10" t="n">
        <v>2</v>
      </c>
      <c r="I338" s="7">
        <f>H338/(180*0.714)</f>
        <v/>
      </c>
    </row>
    <row r="339">
      <c r="A339" s="4" t="inlineStr">
        <is>
          <t>SERV-10335</t>
        </is>
      </c>
      <c r="B339" s="5" t="inlineStr">
        <is>
          <t>Professor da Educação Básica (40h)</t>
        </is>
      </c>
      <c r="C339" s="4" t="inlineStr">
        <is>
          <t>Efetivo Concursado</t>
        </is>
      </c>
      <c r="D339" s="4" t="inlineStr">
        <is>
          <t>SEC-EDU</t>
        </is>
      </c>
      <c r="E339" s="6" t="n">
        <v>5677.63</v>
      </c>
      <c r="F339" s="6">
        <f>E339*0.22</f>
        <v/>
      </c>
      <c r="G339" s="6">
        <f>E339+F339</f>
        <v/>
      </c>
      <c r="H339" s="10" t="n">
        <v>7</v>
      </c>
      <c r="I339" s="7">
        <f>H339/(180*0.714)</f>
        <v/>
      </c>
    </row>
    <row r="340">
      <c r="A340" s="4" t="inlineStr">
        <is>
          <t>SERV-10336</t>
        </is>
      </c>
      <c r="B340" s="5" t="inlineStr">
        <is>
          <t>Professor da Educação Básica (40h)</t>
        </is>
      </c>
      <c r="C340" s="4" t="inlineStr">
        <is>
          <t>Efetivo Concursado</t>
        </is>
      </c>
      <c r="D340" s="4" t="inlineStr">
        <is>
          <t>SEC-EDU</t>
        </is>
      </c>
      <c r="E340" s="6" t="n">
        <v>5676.67</v>
      </c>
      <c r="F340" s="6">
        <f>E340*0.22</f>
        <v/>
      </c>
      <c r="G340" s="6">
        <f>E340+F340</f>
        <v/>
      </c>
      <c r="H340" s="10" t="n">
        <v>6</v>
      </c>
      <c r="I340" s="7">
        <f>H340/(180*0.714)</f>
        <v/>
      </c>
    </row>
    <row r="341">
      <c r="A341" s="4" t="inlineStr">
        <is>
          <t>SERV-10337</t>
        </is>
      </c>
      <c r="B341" s="5" t="inlineStr">
        <is>
          <t>Professor da Educação Básica (40h)</t>
        </is>
      </c>
      <c r="C341" s="4" t="inlineStr">
        <is>
          <t>Efetivo Concursado</t>
        </is>
      </c>
      <c r="D341" s="4" t="inlineStr">
        <is>
          <t>SEC-EDU</t>
        </is>
      </c>
      <c r="E341" s="6" t="n">
        <v>4835.42</v>
      </c>
      <c r="F341" s="6">
        <f>E341*0.22</f>
        <v/>
      </c>
      <c r="G341" s="6">
        <f>E341+F341</f>
        <v/>
      </c>
      <c r="H341" s="10" t="n">
        <v>6</v>
      </c>
      <c r="I341" s="7">
        <f>H341/(180*0.714)</f>
        <v/>
      </c>
    </row>
    <row r="342">
      <c r="A342" s="4" t="inlineStr">
        <is>
          <t>SERV-10338</t>
        </is>
      </c>
      <c r="B342" s="5" t="inlineStr">
        <is>
          <t>Professor da Educação Básica (40h)</t>
        </is>
      </c>
      <c r="C342" s="4" t="inlineStr">
        <is>
          <t>Efetivo Concursado</t>
        </is>
      </c>
      <c r="D342" s="4" t="inlineStr">
        <is>
          <t>SEC-EDU</t>
        </is>
      </c>
      <c r="E342" s="6" t="n">
        <v>5465.93</v>
      </c>
      <c r="F342" s="6">
        <f>E342*0.22</f>
        <v/>
      </c>
      <c r="G342" s="6">
        <f>E342+F342</f>
        <v/>
      </c>
      <c r="H342" s="10" t="n">
        <v>4</v>
      </c>
      <c r="I342" s="7">
        <f>H342/(180*0.714)</f>
        <v/>
      </c>
    </row>
    <row r="343">
      <c r="A343" s="4" t="inlineStr">
        <is>
          <t>SERV-10339</t>
        </is>
      </c>
      <c r="B343" s="5" t="inlineStr">
        <is>
          <t>Professor da Educação Básica (40h)</t>
        </is>
      </c>
      <c r="C343" s="4" t="inlineStr">
        <is>
          <t>Efetivo Concursado</t>
        </is>
      </c>
      <c r="D343" s="4" t="inlineStr">
        <is>
          <t>SEC-EDU</t>
        </is>
      </c>
      <c r="E343" s="6" t="n">
        <v>5271.66</v>
      </c>
      <c r="F343" s="6">
        <f>E343*0.22</f>
        <v/>
      </c>
      <c r="G343" s="6">
        <f>E343+F343</f>
        <v/>
      </c>
      <c r="H343" s="10" t="n">
        <v>3</v>
      </c>
      <c r="I343" s="7">
        <f>H343/(180*0.714)</f>
        <v/>
      </c>
    </row>
    <row r="344">
      <c r="A344" s="4" t="inlineStr">
        <is>
          <t>SERV-10340</t>
        </is>
      </c>
      <c r="B344" s="5" t="inlineStr">
        <is>
          <t>Professor da Educação Básica (40h)</t>
        </is>
      </c>
      <c r="C344" s="4" t="inlineStr">
        <is>
          <t>Efetivo Concursado</t>
        </is>
      </c>
      <c r="D344" s="4" t="inlineStr">
        <is>
          <t>SEC-EDU</t>
        </is>
      </c>
      <c r="E344" s="6" t="n">
        <v>5463.75</v>
      </c>
      <c r="F344" s="6">
        <f>E344*0.22</f>
        <v/>
      </c>
      <c r="G344" s="6">
        <f>E344+F344</f>
        <v/>
      </c>
      <c r="H344" s="10" t="n">
        <v>5</v>
      </c>
      <c r="I344" s="7">
        <f>H344/(180*0.714)</f>
        <v/>
      </c>
    </row>
    <row r="345">
      <c r="A345" s="4" t="inlineStr">
        <is>
          <t>SERV-10341</t>
        </is>
      </c>
      <c r="B345" s="5" t="inlineStr">
        <is>
          <t>Professor da Educação Básica (40h)</t>
        </is>
      </c>
      <c r="C345" s="4" t="inlineStr">
        <is>
          <t>Efetivo Concursado</t>
        </is>
      </c>
      <c r="D345" s="4" t="inlineStr">
        <is>
          <t>SEC-EDU</t>
        </is>
      </c>
      <c r="E345" s="6" t="n">
        <v>4965.37</v>
      </c>
      <c r="F345" s="6">
        <f>E345*0.22</f>
        <v/>
      </c>
      <c r="G345" s="6">
        <f>E345+F345</f>
        <v/>
      </c>
      <c r="H345" s="10" t="n">
        <v>7</v>
      </c>
      <c r="I345" s="7">
        <f>H345/(180*0.714)</f>
        <v/>
      </c>
    </row>
    <row r="346">
      <c r="A346" s="4" t="inlineStr">
        <is>
          <t>SERV-10342</t>
        </is>
      </c>
      <c r="B346" s="5" t="inlineStr">
        <is>
          <t>Professor da Educação Básica (40h)</t>
        </is>
      </c>
      <c r="C346" s="4" t="inlineStr">
        <is>
          <t>Efetivo Concursado</t>
        </is>
      </c>
      <c r="D346" s="4" t="inlineStr">
        <is>
          <t>SEC-EDU</t>
        </is>
      </c>
      <c r="E346" s="6" t="n">
        <v>5374.3</v>
      </c>
      <c r="F346" s="6">
        <f>E346*0.22</f>
        <v/>
      </c>
      <c r="G346" s="6">
        <f>E346+F346</f>
        <v/>
      </c>
      <c r="H346" s="10" t="n">
        <v>5</v>
      </c>
      <c r="I346" s="7">
        <f>H346/(180*0.714)</f>
        <v/>
      </c>
    </row>
    <row r="347">
      <c r="A347" s="4" t="inlineStr">
        <is>
          <t>SERV-10343</t>
        </is>
      </c>
      <c r="B347" s="5" t="inlineStr">
        <is>
          <t>Professor da Educação Básica (40h)</t>
        </is>
      </c>
      <c r="C347" s="4" t="inlineStr">
        <is>
          <t>Efetivo Concursado</t>
        </is>
      </c>
      <c r="D347" s="4" t="inlineStr">
        <is>
          <t>SEC-EDU</t>
        </is>
      </c>
      <c r="E347" s="6" t="n">
        <v>5602.37</v>
      </c>
      <c r="F347" s="6">
        <f>E347*0.22</f>
        <v/>
      </c>
      <c r="G347" s="6">
        <f>E347+F347</f>
        <v/>
      </c>
      <c r="H347" s="10" t="n">
        <v>4</v>
      </c>
      <c r="I347" s="7">
        <f>H347/(180*0.714)</f>
        <v/>
      </c>
    </row>
    <row r="348">
      <c r="A348" s="4" t="inlineStr">
        <is>
          <t>SERV-10344</t>
        </is>
      </c>
      <c r="B348" s="5" t="inlineStr">
        <is>
          <t>Professor da Educação Básica (40h)</t>
        </is>
      </c>
      <c r="C348" s="4" t="inlineStr">
        <is>
          <t>Efetivo Concursado</t>
        </is>
      </c>
      <c r="D348" s="4" t="inlineStr">
        <is>
          <t>SEC-EDU</t>
        </is>
      </c>
      <c r="E348" s="6" t="n">
        <v>4922.45</v>
      </c>
      <c r="F348" s="6">
        <f>E348*0.22</f>
        <v/>
      </c>
      <c r="G348" s="6">
        <f>E348+F348</f>
        <v/>
      </c>
      <c r="H348" s="10" t="n">
        <v>5</v>
      </c>
      <c r="I348" s="7">
        <f>H348/(180*0.714)</f>
        <v/>
      </c>
    </row>
    <row r="349">
      <c r="A349" s="4" t="inlineStr">
        <is>
          <t>SERV-10345</t>
        </is>
      </c>
      <c r="B349" s="5" t="inlineStr">
        <is>
          <t>Professor da Educação Básica (40h)</t>
        </is>
      </c>
      <c r="C349" s="4" t="inlineStr">
        <is>
          <t>Efetivo Concursado</t>
        </is>
      </c>
      <c r="D349" s="4" t="inlineStr">
        <is>
          <t>SEC-EDU</t>
        </is>
      </c>
      <c r="E349" s="6" t="n">
        <v>5714.97</v>
      </c>
      <c r="F349" s="6">
        <f>E349*0.22</f>
        <v/>
      </c>
      <c r="G349" s="6">
        <f>E349+F349</f>
        <v/>
      </c>
      <c r="H349" s="10" t="n">
        <v>5</v>
      </c>
      <c r="I349" s="7">
        <f>H349/(180*0.714)</f>
        <v/>
      </c>
    </row>
    <row r="350">
      <c r="A350" s="4" t="inlineStr">
        <is>
          <t>SERV-10346</t>
        </is>
      </c>
      <c r="B350" s="5" t="inlineStr">
        <is>
          <t>Professor da Educação Básica (40h)</t>
        </is>
      </c>
      <c r="C350" s="4" t="inlineStr">
        <is>
          <t>Efetivo Concursado</t>
        </is>
      </c>
      <c r="D350" s="4" t="inlineStr">
        <is>
          <t>SEC-EDU</t>
        </is>
      </c>
      <c r="E350" s="6" t="n">
        <v>5159.56</v>
      </c>
      <c r="F350" s="6">
        <f>E350*0.22</f>
        <v/>
      </c>
      <c r="G350" s="6">
        <f>E350+F350</f>
        <v/>
      </c>
      <c r="H350" s="10" t="n">
        <v>7</v>
      </c>
      <c r="I350" s="7">
        <f>H350/(180*0.714)</f>
        <v/>
      </c>
    </row>
    <row r="351">
      <c r="A351" s="4" t="inlineStr">
        <is>
          <t>SERV-10347</t>
        </is>
      </c>
      <c r="B351" s="5" t="inlineStr">
        <is>
          <t>Professor da Educação Básica (40h)</t>
        </is>
      </c>
      <c r="C351" s="4" t="inlineStr">
        <is>
          <t>Efetivo Concursado</t>
        </is>
      </c>
      <c r="D351" s="4" t="inlineStr">
        <is>
          <t>SEC-EDU</t>
        </is>
      </c>
      <c r="E351" s="6" t="n">
        <v>4993.02</v>
      </c>
      <c r="F351" s="6">
        <f>E351*0.22</f>
        <v/>
      </c>
      <c r="G351" s="6">
        <f>E351+F351</f>
        <v/>
      </c>
      <c r="H351" s="10" t="n">
        <v>7</v>
      </c>
      <c r="I351" s="7">
        <f>H351/(180*0.714)</f>
        <v/>
      </c>
    </row>
    <row r="352">
      <c r="A352" s="4" t="inlineStr">
        <is>
          <t>SERV-10348</t>
        </is>
      </c>
      <c r="B352" s="5" t="inlineStr">
        <is>
          <t>Professor da Educação Básica (40h)</t>
        </is>
      </c>
      <c r="C352" s="4" t="inlineStr">
        <is>
          <t>Efetivo Concursado</t>
        </is>
      </c>
      <c r="D352" s="4" t="inlineStr">
        <is>
          <t>SEC-EDU</t>
        </is>
      </c>
      <c r="E352" s="6" t="n">
        <v>4901.62</v>
      </c>
      <c r="F352" s="6">
        <f>E352*0.22</f>
        <v/>
      </c>
      <c r="G352" s="6">
        <f>E352+F352</f>
        <v/>
      </c>
      <c r="H352" s="10" t="n">
        <v>6</v>
      </c>
      <c r="I352" s="7">
        <f>H352/(180*0.714)</f>
        <v/>
      </c>
    </row>
    <row r="353">
      <c r="A353" s="4" t="inlineStr">
        <is>
          <t>SERV-10349</t>
        </is>
      </c>
      <c r="B353" s="5" t="inlineStr">
        <is>
          <t>Professor da Educação Básica (40h)</t>
        </is>
      </c>
      <c r="C353" s="4" t="inlineStr">
        <is>
          <t>Efetivo Concursado</t>
        </is>
      </c>
      <c r="D353" s="4" t="inlineStr">
        <is>
          <t>SEC-EDU</t>
        </is>
      </c>
      <c r="E353" s="6" t="n">
        <v>5300.77</v>
      </c>
      <c r="F353" s="6">
        <f>E353*0.22</f>
        <v/>
      </c>
      <c r="G353" s="6">
        <f>E353+F353</f>
        <v/>
      </c>
      <c r="H353" s="10" t="n">
        <v>2</v>
      </c>
      <c r="I353" s="7">
        <f>H353/(180*0.714)</f>
        <v/>
      </c>
    </row>
    <row r="354">
      <c r="A354" s="4" t="inlineStr">
        <is>
          <t>SERV-10350</t>
        </is>
      </c>
      <c r="B354" s="5" t="inlineStr">
        <is>
          <t>Professor da Educação Básica (40h)</t>
        </is>
      </c>
      <c r="C354" s="4" t="inlineStr">
        <is>
          <t>Efetivo Concursado</t>
        </is>
      </c>
      <c r="D354" s="4" t="inlineStr">
        <is>
          <t>SEC-EDU</t>
        </is>
      </c>
      <c r="E354" s="6" t="n">
        <v>4942.19</v>
      </c>
      <c r="F354" s="6">
        <f>E354*0.22</f>
        <v/>
      </c>
      <c r="G354" s="6">
        <f>E354+F354</f>
        <v/>
      </c>
      <c r="H354" s="10" t="n">
        <v>6</v>
      </c>
      <c r="I354" s="7">
        <f>H354/(180*0.714)</f>
        <v/>
      </c>
    </row>
    <row r="355">
      <c r="A355" s="4" t="inlineStr">
        <is>
          <t>SERV-10351</t>
        </is>
      </c>
      <c r="B355" s="5" t="inlineStr">
        <is>
          <t>Professor da Educação Básica (40h)</t>
        </is>
      </c>
      <c r="C355" s="4" t="inlineStr">
        <is>
          <t>Efetivo Concursado</t>
        </is>
      </c>
      <c r="D355" s="4" t="inlineStr">
        <is>
          <t>SEC-EDU</t>
        </is>
      </c>
      <c r="E355" s="6" t="n">
        <v>5595.85</v>
      </c>
      <c r="F355" s="6">
        <f>E355*0.22</f>
        <v/>
      </c>
      <c r="G355" s="6">
        <f>E355+F355</f>
        <v/>
      </c>
      <c r="H355" s="10" t="n">
        <v>4</v>
      </c>
      <c r="I355" s="7">
        <f>H355/(180*0.714)</f>
        <v/>
      </c>
    </row>
    <row r="356">
      <c r="A356" s="4" t="inlineStr">
        <is>
          <t>SERV-10352</t>
        </is>
      </c>
      <c r="B356" s="5" t="inlineStr">
        <is>
          <t>Professor da Educação Básica (40h)</t>
        </is>
      </c>
      <c r="C356" s="4" t="inlineStr">
        <is>
          <t>Efetivo Concursado</t>
        </is>
      </c>
      <c r="D356" s="4" t="inlineStr">
        <is>
          <t>SEC-EDU</t>
        </is>
      </c>
      <c r="E356" s="6" t="n">
        <v>5090.98</v>
      </c>
      <c r="F356" s="6">
        <f>E356*0.22</f>
        <v/>
      </c>
      <c r="G356" s="6">
        <f>E356+F356</f>
        <v/>
      </c>
      <c r="H356" s="10" t="n">
        <v>4</v>
      </c>
      <c r="I356" s="7">
        <f>H356/(180*0.714)</f>
        <v/>
      </c>
    </row>
    <row r="357">
      <c r="A357" s="4" t="inlineStr">
        <is>
          <t>SERV-10353</t>
        </is>
      </c>
      <c r="B357" s="5" t="inlineStr">
        <is>
          <t>Professor da Educação Básica (40h)</t>
        </is>
      </c>
      <c r="C357" s="4" t="inlineStr">
        <is>
          <t>Efetivo Concursado</t>
        </is>
      </c>
      <c r="D357" s="4" t="inlineStr">
        <is>
          <t>SEC-EDU</t>
        </is>
      </c>
      <c r="E357" s="6" t="n">
        <v>5327.18</v>
      </c>
      <c r="F357" s="6">
        <f>E357*0.22</f>
        <v/>
      </c>
      <c r="G357" s="6">
        <f>E357+F357</f>
        <v/>
      </c>
      <c r="H357" s="10" t="n">
        <v>7</v>
      </c>
      <c r="I357" s="7">
        <f>H357/(180*0.714)</f>
        <v/>
      </c>
    </row>
    <row r="358">
      <c r="A358" s="4" t="inlineStr">
        <is>
          <t>SERV-10354</t>
        </is>
      </c>
      <c r="B358" s="5" t="inlineStr">
        <is>
          <t>Professor da Educação Básica (40h)</t>
        </is>
      </c>
      <c r="C358" s="4" t="inlineStr">
        <is>
          <t>Efetivo Concursado</t>
        </is>
      </c>
      <c r="D358" s="4" t="inlineStr">
        <is>
          <t>SEC-EDU</t>
        </is>
      </c>
      <c r="E358" s="6" t="n">
        <v>5553.88</v>
      </c>
      <c r="F358" s="6">
        <f>E358*0.22</f>
        <v/>
      </c>
      <c r="G358" s="6">
        <f>E358+F358</f>
        <v/>
      </c>
      <c r="H358" s="10" t="n">
        <v>6</v>
      </c>
      <c r="I358" s="7">
        <f>H358/(180*0.714)</f>
        <v/>
      </c>
    </row>
    <row r="359">
      <c r="A359" s="4" t="inlineStr">
        <is>
          <t>SERV-10355</t>
        </is>
      </c>
      <c r="B359" s="5" t="inlineStr">
        <is>
          <t>Professor da Educação Básica (40h)</t>
        </is>
      </c>
      <c r="C359" s="4" t="inlineStr">
        <is>
          <t>Efetivo Concursado</t>
        </is>
      </c>
      <c r="D359" s="4" t="inlineStr">
        <is>
          <t>SEC-EDU</t>
        </is>
      </c>
      <c r="E359" s="6" t="n">
        <v>5417.33</v>
      </c>
      <c r="F359" s="6">
        <f>E359*0.22</f>
        <v/>
      </c>
      <c r="G359" s="6">
        <f>E359+F359</f>
        <v/>
      </c>
      <c r="H359" s="10" t="n">
        <v>7</v>
      </c>
      <c r="I359" s="7">
        <f>H359/(180*0.714)</f>
        <v/>
      </c>
    </row>
    <row r="360">
      <c r="A360" s="4" t="inlineStr">
        <is>
          <t>SERV-10356</t>
        </is>
      </c>
      <c r="B360" s="5" t="inlineStr">
        <is>
          <t>Professor da Educação Básica (40h)</t>
        </is>
      </c>
      <c r="C360" s="4" t="inlineStr">
        <is>
          <t>Efetivo Concursado</t>
        </is>
      </c>
      <c r="D360" s="4" t="inlineStr">
        <is>
          <t>SEC-EDU</t>
        </is>
      </c>
      <c r="E360" s="6" t="n">
        <v>5289.6</v>
      </c>
      <c r="F360" s="6">
        <f>E360*0.22</f>
        <v/>
      </c>
      <c r="G360" s="6">
        <f>E360+F360</f>
        <v/>
      </c>
      <c r="H360" s="10" t="n">
        <v>7</v>
      </c>
      <c r="I360" s="7">
        <f>H360/(180*0.714)</f>
        <v/>
      </c>
    </row>
    <row r="361">
      <c r="A361" s="4" t="inlineStr">
        <is>
          <t>SERV-10357</t>
        </is>
      </c>
      <c r="B361" s="5" t="inlineStr">
        <is>
          <t>Professor da Educação Básica (40h)</t>
        </is>
      </c>
      <c r="C361" s="4" t="inlineStr">
        <is>
          <t>Efetivo Concursado</t>
        </is>
      </c>
      <c r="D361" s="4" t="inlineStr">
        <is>
          <t>SEC-EDU</t>
        </is>
      </c>
      <c r="E361" s="6" t="n">
        <v>5177.16</v>
      </c>
      <c r="F361" s="6">
        <f>E361*0.22</f>
        <v/>
      </c>
      <c r="G361" s="6">
        <f>E361+F361</f>
        <v/>
      </c>
      <c r="H361" s="10" t="n">
        <v>2</v>
      </c>
      <c r="I361" s="7">
        <f>H361/(180*0.714)</f>
        <v/>
      </c>
    </row>
    <row r="362">
      <c r="A362" s="4" t="inlineStr">
        <is>
          <t>SERV-10358</t>
        </is>
      </c>
      <c r="B362" s="5" t="inlineStr">
        <is>
          <t>Professor da Educação Básica (40h)</t>
        </is>
      </c>
      <c r="C362" s="4" t="inlineStr">
        <is>
          <t>Efetivo Concursado</t>
        </is>
      </c>
      <c r="D362" s="4" t="inlineStr">
        <is>
          <t>SEC-EDU</t>
        </is>
      </c>
      <c r="E362" s="6" t="n">
        <v>4815.11</v>
      </c>
      <c r="F362" s="6">
        <f>E362*0.22</f>
        <v/>
      </c>
      <c r="G362" s="6">
        <f>E362+F362</f>
        <v/>
      </c>
      <c r="H362" s="10" t="n">
        <v>3</v>
      </c>
      <c r="I362" s="7">
        <f>H362/(180*0.714)</f>
        <v/>
      </c>
    </row>
    <row r="363">
      <c r="A363" s="4" t="inlineStr">
        <is>
          <t>SERV-10359</t>
        </is>
      </c>
      <c r="B363" s="5" t="inlineStr">
        <is>
          <t>Professor da Educação Básica (40h)</t>
        </is>
      </c>
      <c r="C363" s="4" t="inlineStr">
        <is>
          <t>Efetivo Concursado</t>
        </is>
      </c>
      <c r="D363" s="4" t="inlineStr">
        <is>
          <t>SEC-EDU</t>
        </is>
      </c>
      <c r="E363" s="6" t="n">
        <v>5403.47</v>
      </c>
      <c r="F363" s="6">
        <f>E363*0.22</f>
        <v/>
      </c>
      <c r="G363" s="6">
        <f>E363+F363</f>
        <v/>
      </c>
      <c r="H363" s="10" t="n">
        <v>5</v>
      </c>
      <c r="I363" s="7">
        <f>H363/(180*0.714)</f>
        <v/>
      </c>
    </row>
    <row r="364">
      <c r="A364" s="4" t="inlineStr">
        <is>
          <t>SERV-10360</t>
        </is>
      </c>
      <c r="B364" s="5" t="inlineStr">
        <is>
          <t>Professor da Educação Básica (40h)</t>
        </is>
      </c>
      <c r="C364" s="4" t="inlineStr">
        <is>
          <t>Efetivo Concursado</t>
        </is>
      </c>
      <c r="D364" s="4" t="inlineStr">
        <is>
          <t>SEC-EDU</t>
        </is>
      </c>
      <c r="E364" s="6" t="n">
        <v>5020.56</v>
      </c>
      <c r="F364" s="6">
        <f>E364*0.22</f>
        <v/>
      </c>
      <c r="G364" s="6">
        <f>E364+F364</f>
        <v/>
      </c>
      <c r="H364" s="10" t="n">
        <v>4</v>
      </c>
      <c r="I364" s="7">
        <f>H364/(180*0.714)</f>
        <v/>
      </c>
    </row>
    <row r="365">
      <c r="A365" s="4" t="inlineStr">
        <is>
          <t>SERV-10361</t>
        </is>
      </c>
      <c r="B365" s="5" t="inlineStr">
        <is>
          <t>Professor da Educação Básica (40h)</t>
        </is>
      </c>
      <c r="C365" s="4" t="inlineStr">
        <is>
          <t>Efetivo Concursado</t>
        </is>
      </c>
      <c r="D365" s="4" t="inlineStr">
        <is>
          <t>SEC-EDU</t>
        </is>
      </c>
      <c r="E365" s="6" t="n">
        <v>5174.21</v>
      </c>
      <c r="F365" s="6">
        <f>E365*0.22</f>
        <v/>
      </c>
      <c r="G365" s="6">
        <f>E365+F365</f>
        <v/>
      </c>
      <c r="H365" s="10" t="n">
        <v>5</v>
      </c>
      <c r="I365" s="7">
        <f>H365/(180*0.714)</f>
        <v/>
      </c>
    </row>
    <row r="366">
      <c r="A366" s="4" t="inlineStr">
        <is>
          <t>SERV-10362</t>
        </is>
      </c>
      <c r="B366" s="5" t="inlineStr">
        <is>
          <t>Professor da Educação Básica (40h)</t>
        </is>
      </c>
      <c r="C366" s="4" t="inlineStr">
        <is>
          <t>Efetivo Concursado</t>
        </is>
      </c>
      <c r="D366" s="4" t="inlineStr">
        <is>
          <t>SEC-EDU</t>
        </is>
      </c>
      <c r="E366" s="6" t="n">
        <v>5159.38</v>
      </c>
      <c r="F366" s="6">
        <f>E366*0.22</f>
        <v/>
      </c>
      <c r="G366" s="6">
        <f>E366+F366</f>
        <v/>
      </c>
      <c r="H366" s="10" t="n">
        <v>2</v>
      </c>
      <c r="I366" s="7">
        <f>H366/(180*0.714)</f>
        <v/>
      </c>
    </row>
    <row r="367">
      <c r="A367" s="4" t="inlineStr">
        <is>
          <t>SERV-10363</t>
        </is>
      </c>
      <c r="B367" s="5" t="inlineStr">
        <is>
          <t>Professor da Educação Básica (40h)</t>
        </is>
      </c>
      <c r="C367" s="4" t="inlineStr">
        <is>
          <t>Efetivo Concursado</t>
        </is>
      </c>
      <c r="D367" s="4" t="inlineStr">
        <is>
          <t>SEC-EDU</t>
        </is>
      </c>
      <c r="E367" s="6" t="n">
        <v>5627.95</v>
      </c>
      <c r="F367" s="6">
        <f>E367*0.22</f>
        <v/>
      </c>
      <c r="G367" s="6">
        <f>E367+F367</f>
        <v/>
      </c>
      <c r="H367" s="10" t="n">
        <v>2</v>
      </c>
      <c r="I367" s="7">
        <f>H367/(180*0.714)</f>
        <v/>
      </c>
    </row>
    <row r="368">
      <c r="A368" s="4" t="inlineStr">
        <is>
          <t>SERV-10364</t>
        </is>
      </c>
      <c r="B368" s="5" t="inlineStr">
        <is>
          <t>Professor da Educação Básica (40h)</t>
        </is>
      </c>
      <c r="C368" s="4" t="inlineStr">
        <is>
          <t>Efetivo Concursado</t>
        </is>
      </c>
      <c r="D368" s="4" t="inlineStr">
        <is>
          <t>SEC-EDU</t>
        </is>
      </c>
      <c r="E368" s="6" t="n">
        <v>5327.5</v>
      </c>
      <c r="F368" s="6">
        <f>E368*0.22</f>
        <v/>
      </c>
      <c r="G368" s="6">
        <f>E368+F368</f>
        <v/>
      </c>
      <c r="H368" s="10" t="n">
        <v>6</v>
      </c>
      <c r="I368" s="7">
        <f>H368/(180*0.714)</f>
        <v/>
      </c>
    </row>
    <row r="369">
      <c r="A369" s="4" t="inlineStr">
        <is>
          <t>SERV-10365</t>
        </is>
      </c>
      <c r="B369" s="5" t="inlineStr">
        <is>
          <t>Professor da Educação Básica (40h)</t>
        </is>
      </c>
      <c r="C369" s="4" t="inlineStr">
        <is>
          <t>Efetivo Concursado</t>
        </is>
      </c>
      <c r="D369" s="4" t="inlineStr">
        <is>
          <t>SEC-EDU</t>
        </is>
      </c>
      <c r="E369" s="6" t="n">
        <v>5784.08</v>
      </c>
      <c r="F369" s="6">
        <f>E369*0.22</f>
        <v/>
      </c>
      <c r="G369" s="6">
        <f>E369+F369</f>
        <v/>
      </c>
      <c r="H369" s="10" t="n">
        <v>2</v>
      </c>
      <c r="I369" s="7">
        <f>H369/(180*0.714)</f>
        <v/>
      </c>
    </row>
    <row r="370">
      <c r="A370" s="4" t="inlineStr">
        <is>
          <t>SERV-10366</t>
        </is>
      </c>
      <c r="B370" s="5" t="inlineStr">
        <is>
          <t>Professor da Educação Básica (40h)</t>
        </is>
      </c>
      <c r="C370" s="4" t="inlineStr">
        <is>
          <t>Efetivo Concursado</t>
        </is>
      </c>
      <c r="D370" s="4" t="inlineStr">
        <is>
          <t>SEC-EDU</t>
        </is>
      </c>
      <c r="E370" s="6" t="n">
        <v>4816.29</v>
      </c>
      <c r="F370" s="6">
        <f>E370*0.22</f>
        <v/>
      </c>
      <c r="G370" s="6">
        <f>E370+F370</f>
        <v/>
      </c>
      <c r="H370" s="10" t="n">
        <v>7</v>
      </c>
      <c r="I370" s="7">
        <f>H370/(180*0.714)</f>
        <v/>
      </c>
    </row>
    <row r="371">
      <c r="A371" s="4" t="inlineStr">
        <is>
          <t>SERV-10367</t>
        </is>
      </c>
      <c r="B371" s="5" t="inlineStr">
        <is>
          <t>Professor da Educação Básica (40h)</t>
        </is>
      </c>
      <c r="C371" s="4" t="inlineStr">
        <is>
          <t>Efetivo Concursado</t>
        </is>
      </c>
      <c r="D371" s="4" t="inlineStr">
        <is>
          <t>SEC-EDU</t>
        </is>
      </c>
      <c r="E371" s="6" t="n">
        <v>4898.13</v>
      </c>
      <c r="F371" s="6">
        <f>E371*0.22</f>
        <v/>
      </c>
      <c r="G371" s="6">
        <f>E371+F371</f>
        <v/>
      </c>
      <c r="H371" s="10" t="n">
        <v>4</v>
      </c>
      <c r="I371" s="7">
        <f>H371/(180*0.714)</f>
        <v/>
      </c>
    </row>
    <row r="372">
      <c r="A372" s="4" t="inlineStr">
        <is>
          <t>SERV-10368</t>
        </is>
      </c>
      <c r="B372" s="5" t="inlineStr">
        <is>
          <t>Professor da Educação Básica (40h)</t>
        </is>
      </c>
      <c r="C372" s="4" t="inlineStr">
        <is>
          <t>Efetivo Concursado</t>
        </is>
      </c>
      <c r="D372" s="4" t="inlineStr">
        <is>
          <t>SEC-EDU</t>
        </is>
      </c>
      <c r="E372" s="6" t="n">
        <v>5206.12</v>
      </c>
      <c r="F372" s="6">
        <f>E372*0.22</f>
        <v/>
      </c>
      <c r="G372" s="6">
        <f>E372+F372</f>
        <v/>
      </c>
      <c r="H372" s="10" t="n">
        <v>5</v>
      </c>
      <c r="I372" s="7">
        <f>H372/(180*0.714)</f>
        <v/>
      </c>
    </row>
    <row r="373">
      <c r="A373" s="4" t="inlineStr">
        <is>
          <t>SERV-10369</t>
        </is>
      </c>
      <c r="B373" s="5" t="inlineStr">
        <is>
          <t>Professor da Educação Básica (40h)</t>
        </is>
      </c>
      <c r="C373" s="4" t="inlineStr">
        <is>
          <t>Efetivo Concursado</t>
        </is>
      </c>
      <c r="D373" s="4" t="inlineStr">
        <is>
          <t>SEC-EDU</t>
        </is>
      </c>
      <c r="E373" s="6" t="n">
        <v>4831.89</v>
      </c>
      <c r="F373" s="6">
        <f>E373*0.22</f>
        <v/>
      </c>
      <c r="G373" s="6">
        <f>E373+F373</f>
        <v/>
      </c>
      <c r="H373" s="10" t="n">
        <v>4</v>
      </c>
      <c r="I373" s="7">
        <f>H373/(180*0.714)</f>
        <v/>
      </c>
    </row>
    <row r="374">
      <c r="A374" s="4" t="inlineStr">
        <is>
          <t>SERV-10370</t>
        </is>
      </c>
      <c r="B374" s="5" t="inlineStr">
        <is>
          <t>Professor da Educação Básica (40h)</t>
        </is>
      </c>
      <c r="C374" s="4" t="inlineStr">
        <is>
          <t>Efetivo Concursado</t>
        </is>
      </c>
      <c r="D374" s="4" t="inlineStr">
        <is>
          <t>SEC-EDU</t>
        </is>
      </c>
      <c r="E374" s="6" t="n">
        <v>5305.53</v>
      </c>
      <c r="F374" s="6">
        <f>E374*0.22</f>
        <v/>
      </c>
      <c r="G374" s="6">
        <f>E374+F374</f>
        <v/>
      </c>
      <c r="H374" s="10" t="n">
        <v>6</v>
      </c>
      <c r="I374" s="7">
        <f>H374/(180*0.714)</f>
        <v/>
      </c>
    </row>
    <row r="375">
      <c r="A375" s="4" t="inlineStr">
        <is>
          <t>SERV-10371</t>
        </is>
      </c>
      <c r="B375" s="5" t="inlineStr">
        <is>
          <t>Professor da Educação Básica (40h)</t>
        </is>
      </c>
      <c r="C375" s="4" t="inlineStr">
        <is>
          <t>Efetivo Concursado</t>
        </is>
      </c>
      <c r="D375" s="4" t="inlineStr">
        <is>
          <t>SEC-EDU</t>
        </is>
      </c>
      <c r="E375" s="6" t="n">
        <v>4809.88</v>
      </c>
      <c r="F375" s="6">
        <f>E375*0.22</f>
        <v/>
      </c>
      <c r="G375" s="6">
        <f>E375+F375</f>
        <v/>
      </c>
      <c r="H375" s="10" t="n">
        <v>7</v>
      </c>
      <c r="I375" s="7">
        <f>H375/(180*0.714)</f>
        <v/>
      </c>
    </row>
    <row r="376">
      <c r="A376" s="4" t="inlineStr">
        <is>
          <t>SERV-10372</t>
        </is>
      </c>
      <c r="B376" s="5" t="inlineStr">
        <is>
          <t>Professor da Educação Básica (40h)</t>
        </is>
      </c>
      <c r="C376" s="4" t="inlineStr">
        <is>
          <t>Efetivo Concursado</t>
        </is>
      </c>
      <c r="D376" s="4" t="inlineStr">
        <is>
          <t>SEC-EDU</t>
        </is>
      </c>
      <c r="E376" s="6" t="n">
        <v>5626.3</v>
      </c>
      <c r="F376" s="6">
        <f>E376*0.22</f>
        <v/>
      </c>
      <c r="G376" s="6">
        <f>E376+F376</f>
        <v/>
      </c>
      <c r="H376" s="10" t="n">
        <v>5</v>
      </c>
      <c r="I376" s="7">
        <f>H376/(180*0.714)</f>
        <v/>
      </c>
    </row>
    <row r="377">
      <c r="A377" s="4" t="inlineStr">
        <is>
          <t>SERV-10373</t>
        </is>
      </c>
      <c r="B377" s="5" t="inlineStr">
        <is>
          <t>Professor da Educação Básica (40h)</t>
        </is>
      </c>
      <c r="C377" s="4" t="inlineStr">
        <is>
          <t>Efetivo Concursado</t>
        </is>
      </c>
      <c r="D377" s="4" t="inlineStr">
        <is>
          <t>SEC-EDU</t>
        </is>
      </c>
      <c r="E377" s="6" t="n">
        <v>5621.97</v>
      </c>
      <c r="F377" s="6">
        <f>E377*0.22</f>
        <v/>
      </c>
      <c r="G377" s="6">
        <f>E377+F377</f>
        <v/>
      </c>
      <c r="H377" s="10" t="n">
        <v>7</v>
      </c>
      <c r="I377" s="7">
        <f>H377/(180*0.714)</f>
        <v/>
      </c>
    </row>
    <row r="378">
      <c r="A378" s="4" t="inlineStr">
        <is>
          <t>SERV-10374</t>
        </is>
      </c>
      <c r="B378" s="5" t="inlineStr">
        <is>
          <t>Professor da Educação Básica (40h)</t>
        </is>
      </c>
      <c r="C378" s="4" t="inlineStr">
        <is>
          <t>Efetivo Concursado</t>
        </is>
      </c>
      <c r="D378" s="4" t="inlineStr">
        <is>
          <t>SEC-EDU</t>
        </is>
      </c>
      <c r="E378" s="6" t="n">
        <v>4883.5</v>
      </c>
      <c r="F378" s="6">
        <f>E378*0.22</f>
        <v/>
      </c>
      <c r="G378" s="6">
        <f>E378+F378</f>
        <v/>
      </c>
      <c r="H378" s="10" t="n">
        <v>6</v>
      </c>
      <c r="I378" s="7">
        <f>H378/(180*0.714)</f>
        <v/>
      </c>
    </row>
    <row r="379">
      <c r="A379" s="4" t="inlineStr">
        <is>
          <t>SERV-10375</t>
        </is>
      </c>
      <c r="B379" s="5" t="inlineStr">
        <is>
          <t>Professor da Educação Básica (40h)</t>
        </is>
      </c>
      <c r="C379" s="4" t="inlineStr">
        <is>
          <t>Efetivo Concursado</t>
        </is>
      </c>
      <c r="D379" s="4" t="inlineStr">
        <is>
          <t>SEC-EDU</t>
        </is>
      </c>
      <c r="E379" s="6" t="n">
        <v>5195.59</v>
      </c>
      <c r="F379" s="6">
        <f>E379*0.22</f>
        <v/>
      </c>
      <c r="G379" s="6">
        <f>E379+F379</f>
        <v/>
      </c>
      <c r="H379" s="10" t="n">
        <v>3</v>
      </c>
      <c r="I379" s="7">
        <f>H379/(180*0.714)</f>
        <v/>
      </c>
    </row>
    <row r="380">
      <c r="A380" s="4" t="inlineStr">
        <is>
          <t>SERV-10376</t>
        </is>
      </c>
      <c r="B380" s="5" t="inlineStr">
        <is>
          <t>Professor da Educação Básica (40h)</t>
        </is>
      </c>
      <c r="C380" s="4" t="inlineStr">
        <is>
          <t>Efetivo Concursado</t>
        </is>
      </c>
      <c r="D380" s="4" t="inlineStr">
        <is>
          <t>SEC-EDU</t>
        </is>
      </c>
      <c r="E380" s="6" t="n">
        <v>5770.14</v>
      </c>
      <c r="F380" s="6">
        <f>E380*0.22</f>
        <v/>
      </c>
      <c r="G380" s="6">
        <f>E380+F380</f>
        <v/>
      </c>
      <c r="H380" s="10" t="n">
        <v>6</v>
      </c>
      <c r="I380" s="7">
        <f>H380/(180*0.714)</f>
        <v/>
      </c>
    </row>
    <row r="381">
      <c r="A381" s="4" t="inlineStr">
        <is>
          <t>SERV-10377</t>
        </is>
      </c>
      <c r="B381" s="5" t="inlineStr">
        <is>
          <t>Professor da Educação Básica (40h)</t>
        </is>
      </c>
      <c r="C381" s="4" t="inlineStr">
        <is>
          <t>Efetivo Concursado</t>
        </is>
      </c>
      <c r="D381" s="4" t="inlineStr">
        <is>
          <t>SEC-EDU</t>
        </is>
      </c>
      <c r="E381" s="6" t="n">
        <v>5660.6</v>
      </c>
      <c r="F381" s="6">
        <f>E381*0.22</f>
        <v/>
      </c>
      <c r="G381" s="6">
        <f>E381+F381</f>
        <v/>
      </c>
      <c r="H381" s="10" t="n">
        <v>5</v>
      </c>
      <c r="I381" s="7">
        <f>H381/(180*0.714)</f>
        <v/>
      </c>
    </row>
    <row r="382">
      <c r="A382" s="4" t="inlineStr">
        <is>
          <t>SERV-10378</t>
        </is>
      </c>
      <c r="B382" s="5" t="inlineStr">
        <is>
          <t>Professor da Educação Básica (40h)</t>
        </is>
      </c>
      <c r="C382" s="4" t="inlineStr">
        <is>
          <t>Efetivo Concursado</t>
        </is>
      </c>
      <c r="D382" s="4" t="inlineStr">
        <is>
          <t>SEC-EDU</t>
        </is>
      </c>
      <c r="E382" s="6" t="n">
        <v>5358.97</v>
      </c>
      <c r="F382" s="6">
        <f>E382*0.22</f>
        <v/>
      </c>
      <c r="G382" s="6">
        <f>E382+F382</f>
        <v/>
      </c>
      <c r="H382" s="10" t="n">
        <v>6</v>
      </c>
      <c r="I382" s="7">
        <f>H382/(180*0.714)</f>
        <v/>
      </c>
    </row>
    <row r="383">
      <c r="A383" s="4" t="inlineStr">
        <is>
          <t>SERV-10379</t>
        </is>
      </c>
      <c r="B383" s="5" t="inlineStr">
        <is>
          <t>Professor da Educação Básica (40h)</t>
        </is>
      </c>
      <c r="C383" s="4" t="inlineStr">
        <is>
          <t>Efetivo Concursado</t>
        </is>
      </c>
      <c r="D383" s="4" t="inlineStr">
        <is>
          <t>SEC-EDU</t>
        </is>
      </c>
      <c r="E383" s="6" t="n">
        <v>5308.66</v>
      </c>
      <c r="F383" s="6">
        <f>E383*0.22</f>
        <v/>
      </c>
      <c r="G383" s="6">
        <f>E383+F383</f>
        <v/>
      </c>
      <c r="H383" s="10" t="n">
        <v>7</v>
      </c>
      <c r="I383" s="7">
        <f>H383/(180*0.714)</f>
        <v/>
      </c>
    </row>
    <row r="384">
      <c r="A384" s="4" t="inlineStr">
        <is>
          <t>SERV-10380</t>
        </is>
      </c>
      <c r="B384" s="5" t="inlineStr">
        <is>
          <t>Professor da Educação Básica (40h)</t>
        </is>
      </c>
      <c r="C384" s="4" t="inlineStr">
        <is>
          <t>Efetivo Concursado</t>
        </is>
      </c>
      <c r="D384" s="4" t="inlineStr">
        <is>
          <t>SEC-EDU</t>
        </is>
      </c>
      <c r="E384" s="6" t="n">
        <v>4947.25</v>
      </c>
      <c r="F384" s="6">
        <f>E384*0.22</f>
        <v/>
      </c>
      <c r="G384" s="6">
        <f>E384+F384</f>
        <v/>
      </c>
      <c r="H384" s="10" t="n">
        <v>6</v>
      </c>
      <c r="I384" s="7">
        <f>H384/(180*0.714)</f>
        <v/>
      </c>
    </row>
    <row r="385">
      <c r="A385" s="4" t="inlineStr">
        <is>
          <t>SERV-10381</t>
        </is>
      </c>
      <c r="B385" s="5" t="inlineStr">
        <is>
          <t>Professor da Educação Básica (40h)</t>
        </is>
      </c>
      <c r="C385" s="4" t="inlineStr">
        <is>
          <t>Efetivo Concursado</t>
        </is>
      </c>
      <c r="D385" s="4" t="inlineStr">
        <is>
          <t>SEC-EDU</t>
        </is>
      </c>
      <c r="E385" s="6" t="n">
        <v>4875.92</v>
      </c>
      <c r="F385" s="6">
        <f>E385*0.22</f>
        <v/>
      </c>
      <c r="G385" s="6">
        <f>E385+F385</f>
        <v/>
      </c>
      <c r="H385" s="10" t="n">
        <v>7</v>
      </c>
      <c r="I385" s="7">
        <f>H385/(180*0.714)</f>
        <v/>
      </c>
    </row>
    <row r="386">
      <c r="A386" s="4" t="inlineStr">
        <is>
          <t>SERV-10382</t>
        </is>
      </c>
      <c r="B386" s="5" t="inlineStr">
        <is>
          <t>Professor da Educação Básica (40h)</t>
        </is>
      </c>
      <c r="C386" s="4" t="inlineStr">
        <is>
          <t>Efetivo Concursado</t>
        </is>
      </c>
      <c r="D386" s="4" t="inlineStr">
        <is>
          <t>SEC-EDU</t>
        </is>
      </c>
      <c r="E386" s="6" t="n">
        <v>5653.69</v>
      </c>
      <c r="F386" s="6">
        <f>E386*0.22</f>
        <v/>
      </c>
      <c r="G386" s="6">
        <f>E386+F386</f>
        <v/>
      </c>
      <c r="H386" s="10" t="n">
        <v>2</v>
      </c>
      <c r="I386" s="7">
        <f>H386/(180*0.714)</f>
        <v/>
      </c>
    </row>
    <row r="387">
      <c r="A387" s="4" t="inlineStr">
        <is>
          <t>SERV-10383</t>
        </is>
      </c>
      <c r="B387" s="5" t="inlineStr">
        <is>
          <t>Professor da Educação Básica (40h)</t>
        </is>
      </c>
      <c r="C387" s="4" t="inlineStr">
        <is>
          <t>Efetivo Concursado</t>
        </is>
      </c>
      <c r="D387" s="4" t="inlineStr">
        <is>
          <t>SEC-EDU</t>
        </is>
      </c>
      <c r="E387" s="6" t="n">
        <v>5181.38</v>
      </c>
      <c r="F387" s="6">
        <f>E387*0.22</f>
        <v/>
      </c>
      <c r="G387" s="6">
        <f>E387+F387</f>
        <v/>
      </c>
      <c r="H387" s="10" t="n">
        <v>3</v>
      </c>
      <c r="I387" s="7">
        <f>H387/(180*0.714)</f>
        <v/>
      </c>
    </row>
    <row r="388">
      <c r="A388" s="4" t="inlineStr">
        <is>
          <t>SERV-10384</t>
        </is>
      </c>
      <c r="B388" s="5" t="inlineStr">
        <is>
          <t>Professor da Educação Básica (40h)</t>
        </is>
      </c>
      <c r="C388" s="4" t="inlineStr">
        <is>
          <t>Efetivo Concursado</t>
        </is>
      </c>
      <c r="D388" s="4" t="inlineStr">
        <is>
          <t>SEC-EDU</t>
        </is>
      </c>
      <c r="E388" s="6" t="n">
        <v>5075.75</v>
      </c>
      <c r="F388" s="6">
        <f>E388*0.22</f>
        <v/>
      </c>
      <c r="G388" s="6">
        <f>E388+F388</f>
        <v/>
      </c>
      <c r="H388" s="10" t="n">
        <v>5</v>
      </c>
      <c r="I388" s="7">
        <f>H388/(180*0.714)</f>
        <v/>
      </c>
    </row>
    <row r="389">
      <c r="A389" s="4" t="inlineStr">
        <is>
          <t>SERV-10385</t>
        </is>
      </c>
      <c r="B389" s="5" t="inlineStr">
        <is>
          <t>Professor da Educação Básica (40h)</t>
        </is>
      </c>
      <c r="C389" s="4" t="inlineStr">
        <is>
          <t>Efetivo Concursado</t>
        </is>
      </c>
      <c r="D389" s="4" t="inlineStr">
        <is>
          <t>SEC-EDU</t>
        </is>
      </c>
      <c r="E389" s="6" t="n">
        <v>5771.05</v>
      </c>
      <c r="F389" s="6">
        <f>E389*0.22</f>
        <v/>
      </c>
      <c r="G389" s="6">
        <f>E389+F389</f>
        <v/>
      </c>
      <c r="H389" s="10" t="n">
        <v>4</v>
      </c>
      <c r="I389" s="7">
        <f>H389/(180*0.714)</f>
        <v/>
      </c>
    </row>
    <row r="390">
      <c r="A390" s="4" t="inlineStr">
        <is>
          <t>SERV-10386</t>
        </is>
      </c>
      <c r="B390" s="5" t="inlineStr">
        <is>
          <t>Professor da Educação Básica (40h)</t>
        </is>
      </c>
      <c r="C390" s="4" t="inlineStr">
        <is>
          <t>Efetivo Concursado</t>
        </is>
      </c>
      <c r="D390" s="4" t="inlineStr">
        <is>
          <t>SEC-EDU</t>
        </is>
      </c>
      <c r="E390" s="6" t="n">
        <v>5161.54</v>
      </c>
      <c r="F390" s="6">
        <f>E390*0.22</f>
        <v/>
      </c>
      <c r="G390" s="6">
        <f>E390+F390</f>
        <v/>
      </c>
      <c r="H390" s="10" t="n">
        <v>3</v>
      </c>
      <c r="I390" s="7">
        <f>H390/(180*0.714)</f>
        <v/>
      </c>
    </row>
    <row r="391">
      <c r="A391" s="4" t="inlineStr">
        <is>
          <t>SERV-10387</t>
        </is>
      </c>
      <c r="B391" s="5" t="inlineStr">
        <is>
          <t>Professor da Educação Básica (40h)</t>
        </is>
      </c>
      <c r="C391" s="4" t="inlineStr">
        <is>
          <t>Efetivo Concursado</t>
        </is>
      </c>
      <c r="D391" s="4" t="inlineStr">
        <is>
          <t>SEC-EDU</t>
        </is>
      </c>
      <c r="E391" s="6" t="n">
        <v>5633.79</v>
      </c>
      <c r="F391" s="6">
        <f>E391*0.22</f>
        <v/>
      </c>
      <c r="G391" s="6">
        <f>E391+F391</f>
        <v/>
      </c>
      <c r="H391" s="10" t="n">
        <v>4</v>
      </c>
      <c r="I391" s="7">
        <f>H391/(180*0.714)</f>
        <v/>
      </c>
    </row>
    <row r="392">
      <c r="A392" s="4" t="inlineStr">
        <is>
          <t>SERV-10388</t>
        </is>
      </c>
      <c r="B392" s="5" t="inlineStr">
        <is>
          <t>Professor da Educação Básica (40h)</t>
        </is>
      </c>
      <c r="C392" s="4" t="inlineStr">
        <is>
          <t>Efetivo Concursado</t>
        </is>
      </c>
      <c r="D392" s="4" t="inlineStr">
        <is>
          <t>SEC-EDU</t>
        </is>
      </c>
      <c r="E392" s="6" t="n">
        <v>5540.94</v>
      </c>
      <c r="F392" s="6">
        <f>E392*0.22</f>
        <v/>
      </c>
      <c r="G392" s="6">
        <f>E392+F392</f>
        <v/>
      </c>
      <c r="H392" s="10" t="n">
        <v>3</v>
      </c>
      <c r="I392" s="7">
        <f>H392/(180*0.714)</f>
        <v/>
      </c>
    </row>
    <row r="393">
      <c r="A393" s="4" t="inlineStr">
        <is>
          <t>SERV-10389</t>
        </is>
      </c>
      <c r="B393" s="5" t="inlineStr">
        <is>
          <t>Professor da Educação Básica (40h)</t>
        </is>
      </c>
      <c r="C393" s="4" t="inlineStr">
        <is>
          <t>Efetivo Concursado</t>
        </is>
      </c>
      <c r="D393" s="4" t="inlineStr">
        <is>
          <t>SEC-EDU</t>
        </is>
      </c>
      <c r="E393" s="6" t="n">
        <v>5122.98</v>
      </c>
      <c r="F393" s="6">
        <f>E393*0.22</f>
        <v/>
      </c>
      <c r="G393" s="6">
        <f>E393+F393</f>
        <v/>
      </c>
      <c r="H393" s="10" t="n">
        <v>2</v>
      </c>
      <c r="I393" s="7">
        <f>H393/(180*0.714)</f>
        <v/>
      </c>
    </row>
    <row r="394">
      <c r="A394" s="4" t="inlineStr">
        <is>
          <t>SERV-10390</t>
        </is>
      </c>
      <c r="B394" s="5" t="inlineStr">
        <is>
          <t>Professor da Educação Básica (40h)</t>
        </is>
      </c>
      <c r="C394" s="4" t="inlineStr">
        <is>
          <t>Efetivo Concursado</t>
        </is>
      </c>
      <c r="D394" s="4" t="inlineStr">
        <is>
          <t>SEC-EDU</t>
        </is>
      </c>
      <c r="E394" s="6" t="n">
        <v>4980.19</v>
      </c>
      <c r="F394" s="6">
        <f>E394*0.22</f>
        <v/>
      </c>
      <c r="G394" s="6">
        <f>E394+F394</f>
        <v/>
      </c>
      <c r="H394" s="10" t="n">
        <v>2</v>
      </c>
      <c r="I394" s="7">
        <f>H394/(180*0.714)</f>
        <v/>
      </c>
    </row>
    <row r="395">
      <c r="A395" s="4" t="inlineStr">
        <is>
          <t>SERV-10391</t>
        </is>
      </c>
      <c r="B395" s="5" t="inlineStr">
        <is>
          <t>Professor da Educação Básica (40h)</t>
        </is>
      </c>
      <c r="C395" s="4" t="inlineStr">
        <is>
          <t>Efetivo Concursado</t>
        </is>
      </c>
      <c r="D395" s="4" t="inlineStr">
        <is>
          <t>SEC-EDU</t>
        </is>
      </c>
      <c r="E395" s="6" t="n">
        <v>5286.3</v>
      </c>
      <c r="F395" s="6">
        <f>E395*0.22</f>
        <v/>
      </c>
      <c r="G395" s="6">
        <f>E395+F395</f>
        <v/>
      </c>
      <c r="H395" s="10" t="n">
        <v>4</v>
      </c>
      <c r="I395" s="7">
        <f>H395/(180*0.714)</f>
        <v/>
      </c>
    </row>
    <row r="396">
      <c r="A396" s="4" t="inlineStr">
        <is>
          <t>SERV-10392</t>
        </is>
      </c>
      <c r="B396" s="5" t="inlineStr">
        <is>
          <t>Professor da Educação Básica (40h)</t>
        </is>
      </c>
      <c r="C396" s="4" t="inlineStr">
        <is>
          <t>Efetivo Concursado</t>
        </is>
      </c>
      <c r="D396" s="4" t="inlineStr">
        <is>
          <t>SEC-EDU</t>
        </is>
      </c>
      <c r="E396" s="6" t="n">
        <v>5719.51</v>
      </c>
      <c r="F396" s="6">
        <f>E396*0.22</f>
        <v/>
      </c>
      <c r="G396" s="6">
        <f>E396+F396</f>
        <v/>
      </c>
      <c r="H396" s="10" t="n">
        <v>5</v>
      </c>
      <c r="I396" s="7">
        <f>H396/(180*0.714)</f>
        <v/>
      </c>
    </row>
    <row r="397">
      <c r="A397" s="4" t="inlineStr">
        <is>
          <t>SERV-10393</t>
        </is>
      </c>
      <c r="B397" s="5" t="inlineStr">
        <is>
          <t>Professor da Educação Básica (40h)</t>
        </is>
      </c>
      <c r="C397" s="4" t="inlineStr">
        <is>
          <t>Efetivo Concursado</t>
        </is>
      </c>
      <c r="D397" s="4" t="inlineStr">
        <is>
          <t>SEC-EDU</t>
        </is>
      </c>
      <c r="E397" s="6" t="n">
        <v>5275.3</v>
      </c>
      <c r="F397" s="6">
        <f>E397*0.22</f>
        <v/>
      </c>
      <c r="G397" s="6">
        <f>E397+F397</f>
        <v/>
      </c>
      <c r="H397" s="10" t="n">
        <v>5</v>
      </c>
      <c r="I397" s="7">
        <f>H397/(180*0.714)</f>
        <v/>
      </c>
    </row>
    <row r="398">
      <c r="A398" s="4" t="inlineStr">
        <is>
          <t>SERV-10394</t>
        </is>
      </c>
      <c r="B398" s="5" t="inlineStr">
        <is>
          <t>Professor da Educação Básica (40h)</t>
        </is>
      </c>
      <c r="C398" s="4" t="inlineStr">
        <is>
          <t>Efetivo Concursado</t>
        </is>
      </c>
      <c r="D398" s="4" t="inlineStr">
        <is>
          <t>SEC-EDU</t>
        </is>
      </c>
      <c r="E398" s="6" t="n">
        <v>5327.17</v>
      </c>
      <c r="F398" s="6">
        <f>E398*0.22</f>
        <v/>
      </c>
      <c r="G398" s="6">
        <f>E398+F398</f>
        <v/>
      </c>
      <c r="H398" s="10" t="n">
        <v>3</v>
      </c>
      <c r="I398" s="7">
        <f>H398/(180*0.714)</f>
        <v/>
      </c>
    </row>
    <row r="399">
      <c r="A399" s="4" t="inlineStr">
        <is>
          <t>SERV-10395</t>
        </is>
      </c>
      <c r="B399" s="5" t="inlineStr">
        <is>
          <t>Professor da Educação Básica (40h)</t>
        </is>
      </c>
      <c r="C399" s="4" t="inlineStr">
        <is>
          <t>Efetivo Concursado</t>
        </is>
      </c>
      <c r="D399" s="4" t="inlineStr">
        <is>
          <t>SEC-EDU</t>
        </is>
      </c>
      <c r="E399" s="6" t="n">
        <v>5787.88</v>
      </c>
      <c r="F399" s="6">
        <f>E399*0.22</f>
        <v/>
      </c>
      <c r="G399" s="6">
        <f>E399+F399</f>
        <v/>
      </c>
      <c r="H399" s="10" t="n">
        <v>7</v>
      </c>
      <c r="I399" s="7">
        <f>H399/(180*0.714)</f>
        <v/>
      </c>
    </row>
    <row r="400">
      <c r="A400" s="4" t="inlineStr">
        <is>
          <t>SERV-10396</t>
        </is>
      </c>
      <c r="B400" s="5" t="inlineStr">
        <is>
          <t>Professor da Educação Básica (40h)</t>
        </is>
      </c>
      <c r="C400" s="4" t="inlineStr">
        <is>
          <t>Efetivo Concursado</t>
        </is>
      </c>
      <c r="D400" s="4" t="inlineStr">
        <is>
          <t>SEC-EDU</t>
        </is>
      </c>
      <c r="E400" s="6" t="n">
        <v>5719.09</v>
      </c>
      <c r="F400" s="6">
        <f>E400*0.22</f>
        <v/>
      </c>
      <c r="G400" s="6">
        <f>E400+F400</f>
        <v/>
      </c>
      <c r="H400" s="10" t="n">
        <v>3</v>
      </c>
      <c r="I400" s="7">
        <f>H400/(180*0.714)</f>
        <v/>
      </c>
    </row>
    <row r="401">
      <c r="A401" s="4" t="inlineStr">
        <is>
          <t>SERV-10397</t>
        </is>
      </c>
      <c r="B401" s="5" t="inlineStr">
        <is>
          <t>Professor da Educação Básica (40h)</t>
        </is>
      </c>
      <c r="C401" s="4" t="inlineStr">
        <is>
          <t>Efetivo Concursado</t>
        </is>
      </c>
      <c r="D401" s="4" t="inlineStr">
        <is>
          <t>SEC-EDU</t>
        </is>
      </c>
      <c r="E401" s="6" t="n">
        <v>5140.34</v>
      </c>
      <c r="F401" s="6">
        <f>E401*0.22</f>
        <v/>
      </c>
      <c r="G401" s="6">
        <f>E401+F401</f>
        <v/>
      </c>
      <c r="H401" s="10" t="n">
        <v>7</v>
      </c>
      <c r="I401" s="7">
        <f>H401/(180*0.714)</f>
        <v/>
      </c>
    </row>
    <row r="402">
      <c r="A402" s="4" t="inlineStr">
        <is>
          <t>SERV-10398</t>
        </is>
      </c>
      <c r="B402" s="5" t="inlineStr">
        <is>
          <t>Professor da Educação Básica (40h)</t>
        </is>
      </c>
      <c r="C402" s="4" t="inlineStr">
        <is>
          <t>Efetivo Concursado</t>
        </is>
      </c>
      <c r="D402" s="4" t="inlineStr">
        <is>
          <t>SEC-EDU</t>
        </is>
      </c>
      <c r="E402" s="6" t="n">
        <v>5088.29</v>
      </c>
      <c r="F402" s="6">
        <f>E402*0.22</f>
        <v/>
      </c>
      <c r="G402" s="6">
        <f>E402+F402</f>
        <v/>
      </c>
      <c r="H402" s="10" t="n">
        <v>7</v>
      </c>
      <c r="I402" s="7">
        <f>H402/(180*0.714)</f>
        <v/>
      </c>
    </row>
    <row r="403">
      <c r="A403" s="4" t="inlineStr">
        <is>
          <t>SERV-10399</t>
        </is>
      </c>
      <c r="B403" s="5" t="inlineStr">
        <is>
          <t>Professor da Educação Básica (40h)</t>
        </is>
      </c>
      <c r="C403" s="4" t="inlineStr">
        <is>
          <t>Efetivo Concursado</t>
        </is>
      </c>
      <c r="D403" s="4" t="inlineStr">
        <is>
          <t>SEC-EDU</t>
        </is>
      </c>
      <c r="E403" s="6" t="n">
        <v>5801.44</v>
      </c>
      <c r="F403" s="6">
        <f>E403*0.22</f>
        <v/>
      </c>
      <c r="G403" s="6">
        <f>E403+F403</f>
        <v/>
      </c>
      <c r="H403" s="10" t="n">
        <v>7</v>
      </c>
      <c r="I403" s="7">
        <f>H403/(180*0.714)</f>
        <v/>
      </c>
    </row>
    <row r="404">
      <c r="A404" s="4" t="inlineStr">
        <is>
          <t>SERV-10400</t>
        </is>
      </c>
      <c r="B404" s="5" t="inlineStr">
        <is>
          <t>Professor da Educação Básica (40h)</t>
        </is>
      </c>
      <c r="C404" s="4" t="inlineStr">
        <is>
          <t>Efetivo Concursado</t>
        </is>
      </c>
      <c r="D404" s="4" t="inlineStr">
        <is>
          <t>SEC-EDU</t>
        </is>
      </c>
      <c r="E404" s="6" t="n">
        <v>5091.36</v>
      </c>
      <c r="F404" s="6">
        <f>E404*0.22</f>
        <v/>
      </c>
      <c r="G404" s="6">
        <f>E404+F404</f>
        <v/>
      </c>
      <c r="H404" s="10" t="n">
        <v>6</v>
      </c>
      <c r="I404" s="7">
        <f>H404/(180*0.714)</f>
        <v/>
      </c>
    </row>
    <row r="405">
      <c r="A405" s="4" t="inlineStr">
        <is>
          <t>SERV-10401</t>
        </is>
      </c>
      <c r="B405" s="5" t="inlineStr">
        <is>
          <t>Professor da Educação Básica (40h)</t>
        </is>
      </c>
      <c r="C405" s="4" t="inlineStr">
        <is>
          <t>Efetivo Concursado</t>
        </is>
      </c>
      <c r="D405" s="4" t="inlineStr">
        <is>
          <t>SEC-EDU</t>
        </is>
      </c>
      <c r="E405" s="6" t="n">
        <v>4985.95</v>
      </c>
      <c r="F405" s="6">
        <f>E405*0.22</f>
        <v/>
      </c>
      <c r="G405" s="6">
        <f>E405+F405</f>
        <v/>
      </c>
      <c r="H405" s="10" t="n">
        <v>3</v>
      </c>
      <c r="I405" s="7">
        <f>H405/(180*0.714)</f>
        <v/>
      </c>
    </row>
    <row r="406">
      <c r="A406" s="4" t="inlineStr">
        <is>
          <t>SERV-10402</t>
        </is>
      </c>
      <c r="B406" s="5" t="inlineStr">
        <is>
          <t>Professor da Educação Básica (40h)</t>
        </is>
      </c>
      <c r="C406" s="4" t="inlineStr">
        <is>
          <t>Efetivo Concursado</t>
        </is>
      </c>
      <c r="D406" s="4" t="inlineStr">
        <is>
          <t>SEC-EDU</t>
        </is>
      </c>
      <c r="E406" s="6" t="n">
        <v>5373.9</v>
      </c>
      <c r="F406" s="6">
        <f>E406*0.22</f>
        <v/>
      </c>
      <c r="G406" s="6">
        <f>E406+F406</f>
        <v/>
      </c>
      <c r="H406" s="10" t="n">
        <v>7</v>
      </c>
      <c r="I406" s="7">
        <f>H406/(180*0.714)</f>
        <v/>
      </c>
    </row>
    <row r="407">
      <c r="A407" s="4" t="inlineStr">
        <is>
          <t>SERV-10403</t>
        </is>
      </c>
      <c r="B407" s="5" t="inlineStr">
        <is>
          <t>Professor da Educação Básica (40h)</t>
        </is>
      </c>
      <c r="C407" s="4" t="inlineStr">
        <is>
          <t>Efetivo Concursado</t>
        </is>
      </c>
      <c r="D407" s="4" t="inlineStr">
        <is>
          <t>SEC-EDU</t>
        </is>
      </c>
      <c r="E407" s="6" t="n">
        <v>4936.87</v>
      </c>
      <c r="F407" s="6">
        <f>E407*0.22</f>
        <v/>
      </c>
      <c r="G407" s="6">
        <f>E407+F407</f>
        <v/>
      </c>
      <c r="H407" s="10" t="n">
        <v>6</v>
      </c>
      <c r="I407" s="7">
        <f>H407/(180*0.714)</f>
        <v/>
      </c>
    </row>
    <row r="408">
      <c r="A408" s="4" t="inlineStr">
        <is>
          <t>SERV-10404</t>
        </is>
      </c>
      <c r="B408" s="5" t="inlineStr">
        <is>
          <t>Professor da Educação Básica (40h)</t>
        </is>
      </c>
      <c r="C408" s="4" t="inlineStr">
        <is>
          <t>Efetivo Concursado</t>
        </is>
      </c>
      <c r="D408" s="4" t="inlineStr">
        <is>
          <t>SEC-EDU</t>
        </is>
      </c>
      <c r="E408" s="6" t="n">
        <v>4965</v>
      </c>
      <c r="F408" s="6">
        <f>E408*0.22</f>
        <v/>
      </c>
      <c r="G408" s="6">
        <f>E408+F408</f>
        <v/>
      </c>
      <c r="H408" s="10" t="n">
        <v>7</v>
      </c>
      <c r="I408" s="7">
        <f>H408/(180*0.714)</f>
        <v/>
      </c>
    </row>
    <row r="409">
      <c r="A409" s="4" t="inlineStr">
        <is>
          <t>SERV-10405</t>
        </is>
      </c>
      <c r="B409" s="5" t="inlineStr">
        <is>
          <t>Professor da Educação Básica (40h)</t>
        </is>
      </c>
      <c r="C409" s="4" t="inlineStr">
        <is>
          <t>Efetivo Concursado</t>
        </is>
      </c>
      <c r="D409" s="4" t="inlineStr">
        <is>
          <t>SEC-EDU</t>
        </is>
      </c>
      <c r="E409" s="6" t="n">
        <v>5423.55</v>
      </c>
      <c r="F409" s="6">
        <f>E409*0.22</f>
        <v/>
      </c>
      <c r="G409" s="6">
        <f>E409+F409</f>
        <v/>
      </c>
      <c r="H409" s="10" t="n">
        <v>5</v>
      </c>
      <c r="I409" s="7">
        <f>H409/(180*0.714)</f>
        <v/>
      </c>
    </row>
    <row r="410">
      <c r="A410" s="4" t="inlineStr">
        <is>
          <t>SERV-10406</t>
        </is>
      </c>
      <c r="B410" s="5" t="inlineStr">
        <is>
          <t>Professor da Educação Básica (40h)</t>
        </is>
      </c>
      <c r="C410" s="4" t="inlineStr">
        <is>
          <t>Efetivo Concursado</t>
        </is>
      </c>
      <c r="D410" s="4" t="inlineStr">
        <is>
          <t>SEC-EDU</t>
        </is>
      </c>
      <c r="E410" s="6" t="n">
        <v>5227.66</v>
      </c>
      <c r="F410" s="6">
        <f>E410*0.22</f>
        <v/>
      </c>
      <c r="G410" s="6">
        <f>E410+F410</f>
        <v/>
      </c>
      <c r="H410" s="10" t="n">
        <v>6</v>
      </c>
      <c r="I410" s="7">
        <f>H410/(180*0.714)</f>
        <v/>
      </c>
    </row>
    <row r="411">
      <c r="A411" s="4" t="inlineStr">
        <is>
          <t>SERV-10407</t>
        </is>
      </c>
      <c r="B411" s="5" t="inlineStr">
        <is>
          <t>Professor da Educação Básica (40h)</t>
        </is>
      </c>
      <c r="C411" s="4" t="inlineStr">
        <is>
          <t>Efetivo Concursado</t>
        </is>
      </c>
      <c r="D411" s="4" t="inlineStr">
        <is>
          <t>SEC-EDU</t>
        </is>
      </c>
      <c r="E411" s="6" t="n">
        <v>5439.48</v>
      </c>
      <c r="F411" s="6">
        <f>E411*0.22</f>
        <v/>
      </c>
      <c r="G411" s="6">
        <f>E411+F411</f>
        <v/>
      </c>
      <c r="H411" s="10" t="n">
        <v>2</v>
      </c>
      <c r="I411" s="7">
        <f>H411/(180*0.714)</f>
        <v/>
      </c>
    </row>
    <row r="412">
      <c r="A412" s="4" t="inlineStr">
        <is>
          <t>SERV-10408</t>
        </is>
      </c>
      <c r="B412" s="5" t="inlineStr">
        <is>
          <t>Professor da Educação Básica (40h)</t>
        </is>
      </c>
      <c r="C412" s="4" t="inlineStr">
        <is>
          <t>Efetivo Concursado</t>
        </is>
      </c>
      <c r="D412" s="4" t="inlineStr">
        <is>
          <t>SEC-EDU</t>
        </is>
      </c>
      <c r="E412" s="6" t="n">
        <v>5312.79</v>
      </c>
      <c r="F412" s="6">
        <f>E412*0.22</f>
        <v/>
      </c>
      <c r="G412" s="6">
        <f>E412+F412</f>
        <v/>
      </c>
      <c r="H412" s="10" t="n">
        <v>5</v>
      </c>
      <c r="I412" s="7">
        <f>H412/(180*0.714)</f>
        <v/>
      </c>
    </row>
    <row r="413">
      <c r="A413" s="4" t="inlineStr">
        <is>
          <t>SERV-10409</t>
        </is>
      </c>
      <c r="B413" s="5" t="inlineStr">
        <is>
          <t>Professor da Educação Básica (40h)</t>
        </is>
      </c>
      <c r="C413" s="4" t="inlineStr">
        <is>
          <t>Efetivo Concursado</t>
        </is>
      </c>
      <c r="D413" s="4" t="inlineStr">
        <is>
          <t>SEC-EDU</t>
        </is>
      </c>
      <c r="E413" s="6" t="n">
        <v>5575</v>
      </c>
      <c r="F413" s="6">
        <f>E413*0.22</f>
        <v/>
      </c>
      <c r="G413" s="6">
        <f>E413+F413</f>
        <v/>
      </c>
      <c r="H413" s="10" t="n">
        <v>4</v>
      </c>
      <c r="I413" s="7">
        <f>H413/(180*0.714)</f>
        <v/>
      </c>
    </row>
    <row r="414">
      <c r="A414" s="4" t="inlineStr">
        <is>
          <t>SERV-10410</t>
        </is>
      </c>
      <c r="B414" s="5" t="inlineStr">
        <is>
          <t>Professor da Educação Básica (40h)</t>
        </is>
      </c>
      <c r="C414" s="4" t="inlineStr">
        <is>
          <t>Efetivo Concursado</t>
        </is>
      </c>
      <c r="D414" s="4" t="inlineStr">
        <is>
          <t>SEC-EDU</t>
        </is>
      </c>
      <c r="E414" s="6" t="n">
        <v>5421.07</v>
      </c>
      <c r="F414" s="6">
        <f>E414*0.22</f>
        <v/>
      </c>
      <c r="G414" s="6">
        <f>E414+F414</f>
        <v/>
      </c>
      <c r="H414" s="10" t="n">
        <v>7</v>
      </c>
      <c r="I414" s="7">
        <f>H414/(180*0.714)</f>
        <v/>
      </c>
    </row>
    <row r="415">
      <c r="A415" s="4" t="inlineStr">
        <is>
          <t>SERV-10411</t>
        </is>
      </c>
      <c r="B415" s="5" t="inlineStr">
        <is>
          <t>Professor da Educação Básica (40h)</t>
        </is>
      </c>
      <c r="C415" s="4" t="inlineStr">
        <is>
          <t>Efetivo Concursado</t>
        </is>
      </c>
      <c r="D415" s="4" t="inlineStr">
        <is>
          <t>SEC-EDU</t>
        </is>
      </c>
      <c r="E415" s="6" t="n">
        <v>5170.05</v>
      </c>
      <c r="F415" s="6">
        <f>E415*0.22</f>
        <v/>
      </c>
      <c r="G415" s="6">
        <f>E415+F415</f>
        <v/>
      </c>
      <c r="H415" s="10" t="n">
        <v>3</v>
      </c>
      <c r="I415" s="7">
        <f>H415/(180*0.714)</f>
        <v/>
      </c>
    </row>
    <row r="416">
      <c r="A416" s="4" t="inlineStr">
        <is>
          <t>SERV-10412</t>
        </is>
      </c>
      <c r="B416" s="5" t="inlineStr">
        <is>
          <t>Professor da Educação Básica (40h)</t>
        </is>
      </c>
      <c r="C416" s="4" t="inlineStr">
        <is>
          <t>Efetivo Concursado</t>
        </is>
      </c>
      <c r="D416" s="4" t="inlineStr">
        <is>
          <t>SEC-EDU</t>
        </is>
      </c>
      <c r="E416" s="6" t="n">
        <v>5208.34</v>
      </c>
      <c r="F416" s="6">
        <f>E416*0.22</f>
        <v/>
      </c>
      <c r="G416" s="6">
        <f>E416+F416</f>
        <v/>
      </c>
      <c r="H416" s="10" t="n">
        <v>3</v>
      </c>
      <c r="I416" s="7">
        <f>H416/(180*0.714)</f>
        <v/>
      </c>
    </row>
    <row r="417">
      <c r="A417" s="4" t="inlineStr">
        <is>
          <t>SERV-10413</t>
        </is>
      </c>
      <c r="B417" s="5" t="inlineStr">
        <is>
          <t>Professor da Educação Básica (40h)</t>
        </is>
      </c>
      <c r="C417" s="4" t="inlineStr">
        <is>
          <t>Efetivo Concursado</t>
        </is>
      </c>
      <c r="D417" s="4" t="inlineStr">
        <is>
          <t>SEC-EDU</t>
        </is>
      </c>
      <c r="E417" s="6" t="n">
        <v>5763.49</v>
      </c>
      <c r="F417" s="6">
        <f>E417*0.22</f>
        <v/>
      </c>
      <c r="G417" s="6">
        <f>E417+F417</f>
        <v/>
      </c>
      <c r="H417" s="10" t="n">
        <v>2</v>
      </c>
      <c r="I417" s="7">
        <f>H417/(180*0.714)</f>
        <v/>
      </c>
    </row>
    <row r="418">
      <c r="A418" s="4" t="inlineStr">
        <is>
          <t>SERV-10414</t>
        </is>
      </c>
      <c r="B418" s="5" t="inlineStr">
        <is>
          <t>Professor da Educação Básica (40h)</t>
        </is>
      </c>
      <c r="C418" s="4" t="inlineStr">
        <is>
          <t>Efetivo Concursado</t>
        </is>
      </c>
      <c r="D418" s="4" t="inlineStr">
        <is>
          <t>SEC-EDU</t>
        </is>
      </c>
      <c r="E418" s="6" t="n">
        <v>5785.34</v>
      </c>
      <c r="F418" s="6">
        <f>E418*0.22</f>
        <v/>
      </c>
      <c r="G418" s="6">
        <f>E418+F418</f>
        <v/>
      </c>
      <c r="H418" s="10" t="n">
        <v>5</v>
      </c>
      <c r="I418" s="7">
        <f>H418/(180*0.714)</f>
        <v/>
      </c>
    </row>
    <row r="419">
      <c r="A419" s="4" t="inlineStr">
        <is>
          <t>SERV-10415</t>
        </is>
      </c>
      <c r="B419" s="5" t="inlineStr">
        <is>
          <t>Professor da Educação Básica (40h)</t>
        </is>
      </c>
      <c r="C419" s="4" t="inlineStr">
        <is>
          <t>Efetivo Concursado</t>
        </is>
      </c>
      <c r="D419" s="4" t="inlineStr">
        <is>
          <t>SEC-EDU</t>
        </is>
      </c>
      <c r="E419" s="6" t="n">
        <v>5185.89</v>
      </c>
      <c r="F419" s="6">
        <f>E419*0.22</f>
        <v/>
      </c>
      <c r="G419" s="6">
        <f>E419+F419</f>
        <v/>
      </c>
      <c r="H419" s="10" t="n">
        <v>5</v>
      </c>
      <c r="I419" s="7">
        <f>H419/(180*0.714)</f>
        <v/>
      </c>
    </row>
    <row r="420">
      <c r="A420" s="4" t="inlineStr">
        <is>
          <t>SERV-10416</t>
        </is>
      </c>
      <c r="B420" s="5" t="inlineStr">
        <is>
          <t>Professor da Educação Básica (40h)</t>
        </is>
      </c>
      <c r="C420" s="4" t="inlineStr">
        <is>
          <t>Efetivo Concursado</t>
        </is>
      </c>
      <c r="D420" s="4" t="inlineStr">
        <is>
          <t>SEC-EDU</t>
        </is>
      </c>
      <c r="E420" s="6" t="n">
        <v>4911.72</v>
      </c>
      <c r="F420" s="6">
        <f>E420*0.22</f>
        <v/>
      </c>
      <c r="G420" s="6">
        <f>E420+F420</f>
        <v/>
      </c>
      <c r="H420" s="10" t="n">
        <v>5</v>
      </c>
      <c r="I420" s="7">
        <f>H420/(180*0.714)</f>
        <v/>
      </c>
    </row>
    <row r="421">
      <c r="A421" s="4" t="inlineStr">
        <is>
          <t>SERV-10417</t>
        </is>
      </c>
      <c r="B421" s="5" t="inlineStr">
        <is>
          <t>Professor da Educação Básica (40h)</t>
        </is>
      </c>
      <c r="C421" s="4" t="inlineStr">
        <is>
          <t>Efetivo Concursado</t>
        </is>
      </c>
      <c r="D421" s="4" t="inlineStr">
        <is>
          <t>SEC-EDU</t>
        </is>
      </c>
      <c r="E421" s="6" t="n">
        <v>4855.41</v>
      </c>
      <c r="F421" s="6">
        <f>E421*0.22</f>
        <v/>
      </c>
      <c r="G421" s="6">
        <f>E421+F421</f>
        <v/>
      </c>
      <c r="H421" s="10" t="n">
        <v>7</v>
      </c>
      <c r="I421" s="7">
        <f>H421/(180*0.714)</f>
        <v/>
      </c>
    </row>
    <row r="422">
      <c r="A422" s="4" t="inlineStr">
        <is>
          <t>SERV-10418</t>
        </is>
      </c>
      <c r="B422" s="5" t="inlineStr">
        <is>
          <t>Professor da Educação Básica (40h)</t>
        </is>
      </c>
      <c r="C422" s="4" t="inlineStr">
        <is>
          <t>Efetivo Concursado</t>
        </is>
      </c>
      <c r="D422" s="4" t="inlineStr">
        <is>
          <t>SEC-EDU</t>
        </is>
      </c>
      <c r="E422" s="6" t="n">
        <v>5633.61</v>
      </c>
      <c r="F422" s="6">
        <f>E422*0.22</f>
        <v/>
      </c>
      <c r="G422" s="6">
        <f>E422+F422</f>
        <v/>
      </c>
      <c r="H422" s="10" t="n">
        <v>7</v>
      </c>
      <c r="I422" s="7">
        <f>H422/(180*0.714)</f>
        <v/>
      </c>
    </row>
    <row r="423">
      <c r="A423" s="4" t="inlineStr">
        <is>
          <t>SERV-10419</t>
        </is>
      </c>
      <c r="B423" s="5" t="inlineStr">
        <is>
          <t>Professor da Educação Básica (40h)</t>
        </is>
      </c>
      <c r="C423" s="4" t="inlineStr">
        <is>
          <t>Efetivo Concursado</t>
        </is>
      </c>
      <c r="D423" s="4" t="inlineStr">
        <is>
          <t>SEC-EDU</t>
        </is>
      </c>
      <c r="E423" s="6" t="n">
        <v>4970.95</v>
      </c>
      <c r="F423" s="6">
        <f>E423*0.22</f>
        <v/>
      </c>
      <c r="G423" s="6">
        <f>E423+F423</f>
        <v/>
      </c>
      <c r="H423" s="10" t="n">
        <v>3</v>
      </c>
      <c r="I423" s="7">
        <f>H423/(180*0.714)</f>
        <v/>
      </c>
    </row>
    <row r="424">
      <c r="A424" s="4" t="inlineStr">
        <is>
          <t>SERV-10420</t>
        </is>
      </c>
      <c r="B424" s="5" t="inlineStr">
        <is>
          <t>Professor da Educação Básica (40h)</t>
        </is>
      </c>
      <c r="C424" s="4" t="inlineStr">
        <is>
          <t>Efetivo Concursado</t>
        </is>
      </c>
      <c r="D424" s="4" t="inlineStr">
        <is>
          <t>SEC-EDU</t>
        </is>
      </c>
      <c r="E424" s="6" t="n">
        <v>5587.63</v>
      </c>
      <c r="F424" s="6">
        <f>E424*0.22</f>
        <v/>
      </c>
      <c r="G424" s="6">
        <f>E424+F424</f>
        <v/>
      </c>
      <c r="H424" s="10" t="n">
        <v>2</v>
      </c>
      <c r="I424" s="7">
        <f>H424/(180*0.714)</f>
        <v/>
      </c>
    </row>
    <row r="425">
      <c r="A425" s="4" t="inlineStr">
        <is>
          <t>SERV-10421</t>
        </is>
      </c>
      <c r="B425" s="5" t="inlineStr">
        <is>
          <t>Professor da Educação Básica (40h)</t>
        </is>
      </c>
      <c r="C425" s="4" t="inlineStr">
        <is>
          <t>Efetivo Concursado</t>
        </is>
      </c>
      <c r="D425" s="4" t="inlineStr">
        <is>
          <t>SEC-EDU</t>
        </is>
      </c>
      <c r="E425" s="6" t="n">
        <v>5677.88</v>
      </c>
      <c r="F425" s="6">
        <f>E425*0.22</f>
        <v/>
      </c>
      <c r="G425" s="6">
        <f>E425+F425</f>
        <v/>
      </c>
      <c r="H425" s="10" t="n">
        <v>2</v>
      </c>
      <c r="I425" s="7">
        <f>H425/(180*0.714)</f>
        <v/>
      </c>
    </row>
    <row r="426">
      <c r="A426" s="4" t="inlineStr">
        <is>
          <t>SERV-10422</t>
        </is>
      </c>
      <c r="B426" s="5" t="inlineStr">
        <is>
          <t>Professor da Educação Básica (40h)</t>
        </is>
      </c>
      <c r="C426" s="4" t="inlineStr">
        <is>
          <t>Efetivo Concursado</t>
        </is>
      </c>
      <c r="D426" s="4" t="inlineStr">
        <is>
          <t>SEC-EDU</t>
        </is>
      </c>
      <c r="E426" s="6" t="n">
        <v>5793.31</v>
      </c>
      <c r="F426" s="6">
        <f>E426*0.22</f>
        <v/>
      </c>
      <c r="G426" s="6">
        <f>E426+F426</f>
        <v/>
      </c>
      <c r="H426" s="10" t="n">
        <v>2</v>
      </c>
      <c r="I426" s="7">
        <f>H426/(180*0.714)</f>
        <v/>
      </c>
    </row>
    <row r="427">
      <c r="A427" s="4" t="inlineStr">
        <is>
          <t>SERV-10423</t>
        </is>
      </c>
      <c r="B427" s="5" t="inlineStr">
        <is>
          <t>Professor da Educação Básica (40h)</t>
        </is>
      </c>
      <c r="C427" s="4" t="inlineStr">
        <is>
          <t>Efetivo Concursado</t>
        </is>
      </c>
      <c r="D427" s="4" t="inlineStr">
        <is>
          <t>SEC-EDU</t>
        </is>
      </c>
      <c r="E427" s="6" t="n">
        <v>4947.33</v>
      </c>
      <c r="F427" s="6">
        <f>E427*0.22</f>
        <v/>
      </c>
      <c r="G427" s="6">
        <f>E427+F427</f>
        <v/>
      </c>
      <c r="H427" s="10" t="n">
        <v>4</v>
      </c>
      <c r="I427" s="7">
        <f>H427/(180*0.714)</f>
        <v/>
      </c>
    </row>
    <row r="428">
      <c r="A428" s="4" t="inlineStr">
        <is>
          <t>SERV-10424</t>
        </is>
      </c>
      <c r="B428" s="5" t="inlineStr">
        <is>
          <t>Professor da Educação Básica (40h)</t>
        </is>
      </c>
      <c r="C428" s="4" t="inlineStr">
        <is>
          <t>Efetivo Concursado</t>
        </is>
      </c>
      <c r="D428" s="4" t="inlineStr">
        <is>
          <t>SEC-EDU</t>
        </is>
      </c>
      <c r="E428" s="6" t="n">
        <v>5689.87</v>
      </c>
      <c r="F428" s="6">
        <f>E428*0.22</f>
        <v/>
      </c>
      <c r="G428" s="6">
        <f>E428+F428</f>
        <v/>
      </c>
      <c r="H428" s="10" t="n">
        <v>4</v>
      </c>
      <c r="I428" s="7">
        <f>H428/(180*0.714)</f>
        <v/>
      </c>
    </row>
    <row r="429">
      <c r="A429" s="4" t="inlineStr">
        <is>
          <t>SERV-10425</t>
        </is>
      </c>
      <c r="B429" s="5" t="inlineStr">
        <is>
          <t>Professor da Educação Básica (40h)</t>
        </is>
      </c>
      <c r="C429" s="4" t="inlineStr">
        <is>
          <t>Efetivo Concursado</t>
        </is>
      </c>
      <c r="D429" s="4" t="inlineStr">
        <is>
          <t>SEC-EDU</t>
        </is>
      </c>
      <c r="E429" s="6" t="n">
        <v>5537.9</v>
      </c>
      <c r="F429" s="6">
        <f>E429*0.22</f>
        <v/>
      </c>
      <c r="G429" s="6">
        <f>E429+F429</f>
        <v/>
      </c>
      <c r="H429" s="10" t="n">
        <v>4</v>
      </c>
      <c r="I429" s="7">
        <f>H429/(180*0.714)</f>
        <v/>
      </c>
    </row>
    <row r="430">
      <c r="A430" s="4" t="inlineStr">
        <is>
          <t>SERV-10426</t>
        </is>
      </c>
      <c r="B430" s="5" t="inlineStr">
        <is>
          <t>Professor da Educação Básica (40h)</t>
        </is>
      </c>
      <c r="C430" s="4" t="inlineStr">
        <is>
          <t>Efetivo Concursado</t>
        </is>
      </c>
      <c r="D430" s="4" t="inlineStr">
        <is>
          <t>SEC-EDU</t>
        </is>
      </c>
      <c r="E430" s="6" t="n">
        <v>5336.59</v>
      </c>
      <c r="F430" s="6">
        <f>E430*0.22</f>
        <v/>
      </c>
      <c r="G430" s="6">
        <f>E430+F430</f>
        <v/>
      </c>
      <c r="H430" s="10" t="n">
        <v>4</v>
      </c>
      <c r="I430" s="7">
        <f>H430/(180*0.714)</f>
        <v/>
      </c>
    </row>
    <row r="431">
      <c r="A431" s="4" t="inlineStr">
        <is>
          <t>SERV-10427</t>
        </is>
      </c>
      <c r="B431" s="5" t="inlineStr">
        <is>
          <t>Professor da Educação Básica (40h)</t>
        </is>
      </c>
      <c r="C431" s="4" t="inlineStr">
        <is>
          <t>Efetivo Concursado</t>
        </is>
      </c>
      <c r="D431" s="4" t="inlineStr">
        <is>
          <t>SEC-EDU</t>
        </is>
      </c>
      <c r="E431" s="6" t="n">
        <v>5419.8</v>
      </c>
      <c r="F431" s="6">
        <f>E431*0.22</f>
        <v/>
      </c>
      <c r="G431" s="6">
        <f>E431+F431</f>
        <v/>
      </c>
      <c r="H431" s="10" t="n">
        <v>6</v>
      </c>
      <c r="I431" s="7">
        <f>H431/(180*0.714)</f>
        <v/>
      </c>
    </row>
    <row r="432">
      <c r="A432" s="4" t="inlineStr">
        <is>
          <t>SERV-10428</t>
        </is>
      </c>
      <c r="B432" s="5" t="inlineStr">
        <is>
          <t>Professor da Educação Básica (40h)</t>
        </is>
      </c>
      <c r="C432" s="4" t="inlineStr">
        <is>
          <t>Efetivo Concursado</t>
        </is>
      </c>
      <c r="D432" s="4" t="inlineStr">
        <is>
          <t>SEC-EDU</t>
        </is>
      </c>
      <c r="E432" s="6" t="n">
        <v>5735.05</v>
      </c>
      <c r="F432" s="6">
        <f>E432*0.22</f>
        <v/>
      </c>
      <c r="G432" s="6">
        <f>E432+F432</f>
        <v/>
      </c>
      <c r="H432" s="10" t="n">
        <v>5</v>
      </c>
      <c r="I432" s="7">
        <f>H432/(180*0.714)</f>
        <v/>
      </c>
    </row>
    <row r="433">
      <c r="A433" s="4" t="inlineStr">
        <is>
          <t>SERV-10429</t>
        </is>
      </c>
      <c r="B433" s="5" t="inlineStr">
        <is>
          <t>Professor da Educação Básica (40h)</t>
        </is>
      </c>
      <c r="C433" s="4" t="inlineStr">
        <is>
          <t>Efetivo Concursado</t>
        </is>
      </c>
      <c r="D433" s="4" t="inlineStr">
        <is>
          <t>SEC-EDU</t>
        </is>
      </c>
      <c r="E433" s="6" t="n">
        <v>4840.57</v>
      </c>
      <c r="F433" s="6">
        <f>E433*0.22</f>
        <v/>
      </c>
      <c r="G433" s="6">
        <f>E433+F433</f>
        <v/>
      </c>
      <c r="H433" s="10" t="n">
        <v>4</v>
      </c>
      <c r="I433" s="7">
        <f>H433/(180*0.714)</f>
        <v/>
      </c>
    </row>
    <row r="434">
      <c r="A434" s="4" t="inlineStr">
        <is>
          <t>SERV-10430</t>
        </is>
      </c>
      <c r="B434" s="5" t="inlineStr">
        <is>
          <t>Professor da Educação Básica (40h)</t>
        </is>
      </c>
      <c r="C434" s="4" t="inlineStr">
        <is>
          <t>Efetivo Concursado</t>
        </is>
      </c>
      <c r="D434" s="4" t="inlineStr">
        <is>
          <t>SEC-EDU</t>
        </is>
      </c>
      <c r="E434" s="6" t="n">
        <v>5379.07</v>
      </c>
      <c r="F434" s="6">
        <f>E434*0.22</f>
        <v/>
      </c>
      <c r="G434" s="6">
        <f>E434+F434</f>
        <v/>
      </c>
      <c r="H434" s="10" t="n">
        <v>4</v>
      </c>
      <c r="I434" s="7">
        <f>H434/(180*0.714)</f>
        <v/>
      </c>
    </row>
    <row r="435">
      <c r="A435" s="4" t="inlineStr">
        <is>
          <t>SERV-10431</t>
        </is>
      </c>
      <c r="B435" s="5" t="inlineStr">
        <is>
          <t>Professor da Educação Básica (40h)</t>
        </is>
      </c>
      <c r="C435" s="4" t="inlineStr">
        <is>
          <t>Efetivo Concursado</t>
        </is>
      </c>
      <c r="D435" s="4" t="inlineStr">
        <is>
          <t>SEC-EDU</t>
        </is>
      </c>
      <c r="E435" s="6" t="n">
        <v>5495.7</v>
      </c>
      <c r="F435" s="6">
        <f>E435*0.22</f>
        <v/>
      </c>
      <c r="G435" s="6">
        <f>E435+F435</f>
        <v/>
      </c>
      <c r="H435" s="10" t="n">
        <v>5</v>
      </c>
      <c r="I435" s="7">
        <f>H435/(180*0.714)</f>
        <v/>
      </c>
    </row>
    <row r="436">
      <c r="A436" s="4" t="inlineStr">
        <is>
          <t>SERV-10432</t>
        </is>
      </c>
      <c r="B436" s="5" t="inlineStr">
        <is>
          <t>Professor da Educação Básica (40h)</t>
        </is>
      </c>
      <c r="C436" s="4" t="inlineStr">
        <is>
          <t>Efetivo Concursado</t>
        </is>
      </c>
      <c r="D436" s="4" t="inlineStr">
        <is>
          <t>SEC-EDU</t>
        </is>
      </c>
      <c r="E436" s="6" t="n">
        <v>4842.92</v>
      </c>
      <c r="F436" s="6">
        <f>E436*0.22</f>
        <v/>
      </c>
      <c r="G436" s="6">
        <f>E436+F436</f>
        <v/>
      </c>
      <c r="H436" s="10" t="n">
        <v>6</v>
      </c>
      <c r="I436" s="7">
        <f>H436/(180*0.714)</f>
        <v/>
      </c>
    </row>
    <row r="437">
      <c r="A437" s="4" t="inlineStr">
        <is>
          <t>SERV-10433</t>
        </is>
      </c>
      <c r="B437" s="5" t="inlineStr">
        <is>
          <t>Professor da Educação Básica (40h)</t>
        </is>
      </c>
      <c r="C437" s="4" t="inlineStr">
        <is>
          <t>Efetivo Concursado</t>
        </is>
      </c>
      <c r="D437" s="4" t="inlineStr">
        <is>
          <t>SEC-EDU</t>
        </is>
      </c>
      <c r="E437" s="6" t="n">
        <v>4871.9</v>
      </c>
      <c r="F437" s="6">
        <f>E437*0.22</f>
        <v/>
      </c>
      <c r="G437" s="6">
        <f>E437+F437</f>
        <v/>
      </c>
      <c r="H437" s="10" t="n">
        <v>7</v>
      </c>
      <c r="I437" s="7">
        <f>H437/(180*0.714)</f>
        <v/>
      </c>
    </row>
    <row r="438">
      <c r="A438" s="4" t="inlineStr">
        <is>
          <t>SERV-10434</t>
        </is>
      </c>
      <c r="B438" s="5" t="inlineStr">
        <is>
          <t>Professor da Educação Básica (40h)</t>
        </is>
      </c>
      <c r="C438" s="4" t="inlineStr">
        <is>
          <t>Efetivo Concursado</t>
        </is>
      </c>
      <c r="D438" s="4" t="inlineStr">
        <is>
          <t>SEC-EDU</t>
        </is>
      </c>
      <c r="E438" s="6" t="n">
        <v>5617.04</v>
      </c>
      <c r="F438" s="6">
        <f>E438*0.22</f>
        <v/>
      </c>
      <c r="G438" s="6">
        <f>E438+F438</f>
        <v/>
      </c>
      <c r="H438" s="10" t="n">
        <v>5</v>
      </c>
      <c r="I438" s="7">
        <f>H438/(180*0.714)</f>
        <v/>
      </c>
    </row>
    <row r="439">
      <c r="A439" s="4" t="inlineStr">
        <is>
          <t>SERV-10435</t>
        </is>
      </c>
      <c r="B439" s="5" t="inlineStr">
        <is>
          <t>Professor da Educação Básica (40h)</t>
        </is>
      </c>
      <c r="C439" s="4" t="inlineStr">
        <is>
          <t>Efetivo Concursado</t>
        </is>
      </c>
      <c r="D439" s="4" t="inlineStr">
        <is>
          <t>SEC-EDU</t>
        </is>
      </c>
      <c r="E439" s="6" t="n">
        <v>5569.95</v>
      </c>
      <c r="F439" s="6">
        <f>E439*0.22</f>
        <v/>
      </c>
      <c r="G439" s="6">
        <f>E439+F439</f>
        <v/>
      </c>
      <c r="H439" s="10" t="n">
        <v>5</v>
      </c>
      <c r="I439" s="7">
        <f>H439/(180*0.714)</f>
        <v/>
      </c>
    </row>
    <row r="440">
      <c r="A440" s="4" t="inlineStr">
        <is>
          <t>SERV-10436</t>
        </is>
      </c>
      <c r="B440" s="5" t="inlineStr">
        <is>
          <t>Professor da Educação Básica (40h)</t>
        </is>
      </c>
      <c r="C440" s="4" t="inlineStr">
        <is>
          <t>Efetivo Concursado</t>
        </is>
      </c>
      <c r="D440" s="4" t="inlineStr">
        <is>
          <t>SEC-EDU</t>
        </is>
      </c>
      <c r="E440" s="6" t="n">
        <v>5807.33</v>
      </c>
      <c r="F440" s="6">
        <f>E440*0.22</f>
        <v/>
      </c>
      <c r="G440" s="6">
        <f>E440+F440</f>
        <v/>
      </c>
      <c r="H440" s="10" t="n">
        <v>6</v>
      </c>
      <c r="I440" s="7">
        <f>H440/(180*0.714)</f>
        <v/>
      </c>
    </row>
    <row r="441">
      <c r="A441" s="4" t="inlineStr">
        <is>
          <t>SERV-10437</t>
        </is>
      </c>
      <c r="B441" s="5" t="inlineStr">
        <is>
          <t>Professor da Educação Básica (40h)</t>
        </is>
      </c>
      <c r="C441" s="4" t="inlineStr">
        <is>
          <t>Efetivo Concursado</t>
        </is>
      </c>
      <c r="D441" s="4" t="inlineStr">
        <is>
          <t>SEC-EDU</t>
        </is>
      </c>
      <c r="E441" s="6" t="n">
        <v>5675.39</v>
      </c>
      <c r="F441" s="6">
        <f>E441*0.22</f>
        <v/>
      </c>
      <c r="G441" s="6">
        <f>E441+F441</f>
        <v/>
      </c>
      <c r="H441" s="10" t="n">
        <v>3</v>
      </c>
      <c r="I441" s="7">
        <f>H441/(180*0.714)</f>
        <v/>
      </c>
    </row>
    <row r="442">
      <c r="A442" s="4" t="inlineStr">
        <is>
          <t>SERV-10438</t>
        </is>
      </c>
      <c r="B442" s="5" t="inlineStr">
        <is>
          <t>Professor da Educação Básica (40h)</t>
        </is>
      </c>
      <c r="C442" s="4" t="inlineStr">
        <is>
          <t>Efetivo Concursado</t>
        </is>
      </c>
      <c r="D442" s="4" t="inlineStr">
        <is>
          <t>SEC-EDU</t>
        </is>
      </c>
      <c r="E442" s="6" t="n">
        <v>5132.34</v>
      </c>
      <c r="F442" s="6">
        <f>E442*0.22</f>
        <v/>
      </c>
      <c r="G442" s="6">
        <f>E442+F442</f>
        <v/>
      </c>
      <c r="H442" s="10" t="n">
        <v>6</v>
      </c>
      <c r="I442" s="7">
        <f>H442/(180*0.714)</f>
        <v/>
      </c>
    </row>
    <row r="443">
      <c r="A443" s="4" t="inlineStr">
        <is>
          <t>SERV-10439</t>
        </is>
      </c>
      <c r="B443" s="5" t="inlineStr">
        <is>
          <t>Professor da Educação Básica (40h)</t>
        </is>
      </c>
      <c r="C443" s="4" t="inlineStr">
        <is>
          <t>Efetivo Concursado</t>
        </is>
      </c>
      <c r="D443" s="4" t="inlineStr">
        <is>
          <t>SEC-EDU</t>
        </is>
      </c>
      <c r="E443" s="6" t="n">
        <v>5006.53</v>
      </c>
      <c r="F443" s="6">
        <f>E443*0.22</f>
        <v/>
      </c>
      <c r="G443" s="6">
        <f>E443+F443</f>
        <v/>
      </c>
      <c r="H443" s="10" t="n">
        <v>5</v>
      </c>
      <c r="I443" s="7">
        <f>H443/(180*0.714)</f>
        <v/>
      </c>
    </row>
    <row r="444">
      <c r="A444" s="4" t="inlineStr">
        <is>
          <t>SERV-10440</t>
        </is>
      </c>
      <c r="B444" s="5" t="inlineStr">
        <is>
          <t>Professor da Educação Básica (40h)</t>
        </is>
      </c>
      <c r="C444" s="4" t="inlineStr">
        <is>
          <t>Efetivo Concursado</t>
        </is>
      </c>
      <c r="D444" s="4" t="inlineStr">
        <is>
          <t>SEC-EDU</t>
        </is>
      </c>
      <c r="E444" s="6" t="n">
        <v>5628.2</v>
      </c>
      <c r="F444" s="6">
        <f>E444*0.22</f>
        <v/>
      </c>
      <c r="G444" s="6">
        <f>E444+F444</f>
        <v/>
      </c>
      <c r="H444" s="10" t="n">
        <v>3</v>
      </c>
      <c r="I444" s="7">
        <f>H444/(180*0.714)</f>
        <v/>
      </c>
    </row>
    <row r="445">
      <c r="A445" s="4" t="inlineStr">
        <is>
          <t>SERV-10441</t>
        </is>
      </c>
      <c r="B445" s="5" t="inlineStr">
        <is>
          <t>Professor da Educação Básica (40h)</t>
        </is>
      </c>
      <c r="C445" s="4" t="inlineStr">
        <is>
          <t>Efetivo Concursado</t>
        </is>
      </c>
      <c r="D445" s="4" t="inlineStr">
        <is>
          <t>SEC-EDU</t>
        </is>
      </c>
      <c r="E445" s="6" t="n">
        <v>5568.01</v>
      </c>
      <c r="F445" s="6">
        <f>E445*0.22</f>
        <v/>
      </c>
      <c r="G445" s="6">
        <f>E445+F445</f>
        <v/>
      </c>
      <c r="H445" s="10" t="n">
        <v>7</v>
      </c>
      <c r="I445" s="7">
        <f>H445/(180*0.714)</f>
        <v/>
      </c>
    </row>
    <row r="446">
      <c r="A446" s="4" t="inlineStr">
        <is>
          <t>SERV-10442</t>
        </is>
      </c>
      <c r="B446" s="5" t="inlineStr">
        <is>
          <t>Professor da Educação Básica (40h)</t>
        </is>
      </c>
      <c r="C446" s="4" t="inlineStr">
        <is>
          <t>Efetivo Concursado</t>
        </is>
      </c>
      <c r="D446" s="4" t="inlineStr">
        <is>
          <t>SEC-EDU</t>
        </is>
      </c>
      <c r="E446" s="6" t="n">
        <v>5435.72</v>
      </c>
      <c r="F446" s="6">
        <f>E446*0.22</f>
        <v/>
      </c>
      <c r="G446" s="6">
        <f>E446+F446</f>
        <v/>
      </c>
      <c r="H446" s="10" t="n">
        <v>5</v>
      </c>
      <c r="I446" s="7">
        <f>H446/(180*0.714)</f>
        <v/>
      </c>
    </row>
    <row r="447">
      <c r="A447" s="4" t="inlineStr">
        <is>
          <t>SERV-10443</t>
        </is>
      </c>
      <c r="B447" s="5" t="inlineStr">
        <is>
          <t>Professor da Educação Básica (40h)</t>
        </is>
      </c>
      <c r="C447" s="4" t="inlineStr">
        <is>
          <t>Efetivo Concursado</t>
        </is>
      </c>
      <c r="D447" s="4" t="inlineStr">
        <is>
          <t>SEC-EDU</t>
        </is>
      </c>
      <c r="E447" s="6" t="n">
        <v>5098.95</v>
      </c>
      <c r="F447" s="6">
        <f>E447*0.22</f>
        <v/>
      </c>
      <c r="G447" s="6">
        <f>E447+F447</f>
        <v/>
      </c>
      <c r="H447" s="10" t="n">
        <v>3</v>
      </c>
      <c r="I447" s="7">
        <f>H447/(180*0.714)</f>
        <v/>
      </c>
    </row>
    <row r="448">
      <c r="A448" s="4" t="inlineStr">
        <is>
          <t>SERV-10444</t>
        </is>
      </c>
      <c r="B448" s="5" t="inlineStr">
        <is>
          <t>Professor da Educação Básica (40h)</t>
        </is>
      </c>
      <c r="C448" s="4" t="inlineStr">
        <is>
          <t>Efetivo Concursado</t>
        </is>
      </c>
      <c r="D448" s="4" t="inlineStr">
        <is>
          <t>SEC-EDU</t>
        </is>
      </c>
      <c r="E448" s="6" t="n">
        <v>5449.9</v>
      </c>
      <c r="F448" s="6">
        <f>E448*0.22</f>
        <v/>
      </c>
      <c r="G448" s="6">
        <f>E448+F448</f>
        <v/>
      </c>
      <c r="H448" s="10" t="n">
        <v>4</v>
      </c>
      <c r="I448" s="7">
        <f>H448/(180*0.714)</f>
        <v/>
      </c>
    </row>
    <row r="449">
      <c r="A449" s="4" t="inlineStr">
        <is>
          <t>SERV-10445</t>
        </is>
      </c>
      <c r="B449" s="5" t="inlineStr">
        <is>
          <t>Professor da Educação Básica (40h)</t>
        </is>
      </c>
      <c r="C449" s="4" t="inlineStr">
        <is>
          <t>Efetivo Concursado</t>
        </is>
      </c>
      <c r="D449" s="4" t="inlineStr">
        <is>
          <t>SEC-EDU</t>
        </is>
      </c>
      <c r="E449" s="6" t="n">
        <v>5185.03</v>
      </c>
      <c r="F449" s="6">
        <f>E449*0.22</f>
        <v/>
      </c>
      <c r="G449" s="6">
        <f>E449+F449</f>
        <v/>
      </c>
      <c r="H449" s="10" t="n">
        <v>5</v>
      </c>
      <c r="I449" s="7">
        <f>H449/(180*0.714)</f>
        <v/>
      </c>
    </row>
    <row r="450">
      <c r="A450" s="4" t="inlineStr">
        <is>
          <t>SERV-10446</t>
        </is>
      </c>
      <c r="B450" s="5" t="inlineStr">
        <is>
          <t>Professor da Educação Básica (40h)</t>
        </is>
      </c>
      <c r="C450" s="4" t="inlineStr">
        <is>
          <t>Efetivo Concursado</t>
        </is>
      </c>
      <c r="D450" s="4" t="inlineStr">
        <is>
          <t>SEC-EDU</t>
        </is>
      </c>
      <c r="E450" s="6" t="n">
        <v>5780.99</v>
      </c>
      <c r="F450" s="6">
        <f>E450*0.22</f>
        <v/>
      </c>
      <c r="G450" s="6">
        <f>E450+F450</f>
        <v/>
      </c>
      <c r="H450" s="10" t="n">
        <v>7</v>
      </c>
      <c r="I450" s="7">
        <f>H450/(180*0.714)</f>
        <v/>
      </c>
    </row>
    <row r="451">
      <c r="A451" s="4" t="inlineStr">
        <is>
          <t>SERV-10447</t>
        </is>
      </c>
      <c r="B451" s="5" t="inlineStr">
        <is>
          <t>Professor da Educação Básica (40h)</t>
        </is>
      </c>
      <c r="C451" s="4" t="inlineStr">
        <is>
          <t>Efetivo Concursado</t>
        </is>
      </c>
      <c r="D451" s="4" t="inlineStr">
        <is>
          <t>SEC-EDU</t>
        </is>
      </c>
      <c r="E451" s="6" t="n">
        <v>5769.39</v>
      </c>
      <c r="F451" s="6">
        <f>E451*0.22</f>
        <v/>
      </c>
      <c r="G451" s="6">
        <f>E451+F451</f>
        <v/>
      </c>
      <c r="H451" s="10" t="n">
        <v>2</v>
      </c>
      <c r="I451" s="7">
        <f>H451/(180*0.714)</f>
        <v/>
      </c>
    </row>
    <row r="452">
      <c r="A452" s="4" t="inlineStr">
        <is>
          <t>SERV-10448</t>
        </is>
      </c>
      <c r="B452" s="5" t="inlineStr">
        <is>
          <t>Professor da Educação Básica (40h)</t>
        </is>
      </c>
      <c r="C452" s="4" t="inlineStr">
        <is>
          <t>Efetivo Concursado</t>
        </is>
      </c>
      <c r="D452" s="4" t="inlineStr">
        <is>
          <t>SEC-EDU</t>
        </is>
      </c>
      <c r="E452" s="6" t="n">
        <v>4846.81</v>
      </c>
      <c r="F452" s="6">
        <f>E452*0.22</f>
        <v/>
      </c>
      <c r="G452" s="6">
        <f>E452+F452</f>
        <v/>
      </c>
      <c r="H452" s="10" t="n">
        <v>3</v>
      </c>
      <c r="I452" s="7">
        <f>H452/(180*0.714)</f>
        <v/>
      </c>
    </row>
    <row r="453">
      <c r="A453" s="4" t="inlineStr">
        <is>
          <t>SERV-10449</t>
        </is>
      </c>
      <c r="B453" s="5" t="inlineStr">
        <is>
          <t>Professor da Educação Básica (40h)</t>
        </is>
      </c>
      <c r="C453" s="4" t="inlineStr">
        <is>
          <t>Efetivo Concursado</t>
        </is>
      </c>
      <c r="D453" s="4" t="inlineStr">
        <is>
          <t>SEC-EDU</t>
        </is>
      </c>
      <c r="E453" s="6" t="n">
        <v>4853.84</v>
      </c>
      <c r="F453" s="6">
        <f>E453*0.22</f>
        <v/>
      </c>
      <c r="G453" s="6">
        <f>E453+F453</f>
        <v/>
      </c>
      <c r="H453" s="10" t="n">
        <v>5</v>
      </c>
      <c r="I453" s="7">
        <f>H453/(180*0.714)</f>
        <v/>
      </c>
    </row>
    <row r="454">
      <c r="A454" s="4" t="inlineStr">
        <is>
          <t>SERV-10450</t>
        </is>
      </c>
      <c r="B454" s="5" t="inlineStr">
        <is>
          <t>Professor da Educação Básica (40h)</t>
        </is>
      </c>
      <c r="C454" s="4" t="inlineStr">
        <is>
          <t>Efetivo Concursado</t>
        </is>
      </c>
      <c r="D454" s="4" t="inlineStr">
        <is>
          <t>SEC-EDU</t>
        </is>
      </c>
      <c r="E454" s="6" t="n">
        <v>5726.28</v>
      </c>
      <c r="F454" s="6">
        <f>E454*0.22</f>
        <v/>
      </c>
      <c r="G454" s="6">
        <f>E454+F454</f>
        <v/>
      </c>
      <c r="H454" s="10" t="n">
        <v>4</v>
      </c>
      <c r="I454" s="7">
        <f>H454/(180*0.714)</f>
        <v/>
      </c>
    </row>
    <row r="455">
      <c r="A455" s="4" t="inlineStr">
        <is>
          <t>SERV-10451</t>
        </is>
      </c>
      <c r="B455" s="5" t="inlineStr">
        <is>
          <t>Professor da Educação Básica (40h)</t>
        </is>
      </c>
      <c r="C455" s="4" t="inlineStr">
        <is>
          <t>Efetivo Concursado</t>
        </is>
      </c>
      <c r="D455" s="4" t="inlineStr">
        <is>
          <t>SEC-EDU</t>
        </is>
      </c>
      <c r="E455" s="6" t="n">
        <v>4987.33</v>
      </c>
      <c r="F455" s="6">
        <f>E455*0.22</f>
        <v/>
      </c>
      <c r="G455" s="6">
        <f>E455+F455</f>
        <v/>
      </c>
      <c r="H455" s="10" t="n">
        <v>2</v>
      </c>
      <c r="I455" s="7">
        <f>H455/(180*0.714)</f>
        <v/>
      </c>
    </row>
    <row r="456">
      <c r="A456" s="4" t="inlineStr">
        <is>
          <t>SERV-10452</t>
        </is>
      </c>
      <c r="B456" s="5" t="inlineStr">
        <is>
          <t>Professor da Educação Básica (40h)</t>
        </is>
      </c>
      <c r="C456" s="4" t="inlineStr">
        <is>
          <t>Efetivo Concursado</t>
        </is>
      </c>
      <c r="D456" s="4" t="inlineStr">
        <is>
          <t>SEC-EDU</t>
        </is>
      </c>
      <c r="E456" s="6" t="n">
        <v>5407.81</v>
      </c>
      <c r="F456" s="6">
        <f>E456*0.22</f>
        <v/>
      </c>
      <c r="G456" s="6">
        <f>E456+F456</f>
        <v/>
      </c>
      <c r="H456" s="10" t="n">
        <v>4</v>
      </c>
      <c r="I456" s="7">
        <f>H456/(180*0.714)</f>
        <v/>
      </c>
    </row>
    <row r="457">
      <c r="A457" s="4" t="inlineStr">
        <is>
          <t>SERV-10453</t>
        </is>
      </c>
      <c r="B457" s="5" t="inlineStr">
        <is>
          <t>Professor da Educação Básica (40h)</t>
        </is>
      </c>
      <c r="C457" s="4" t="inlineStr">
        <is>
          <t>Efetivo Concursado</t>
        </is>
      </c>
      <c r="D457" s="4" t="inlineStr">
        <is>
          <t>SEC-EDU</t>
        </is>
      </c>
      <c r="E457" s="6" t="n">
        <v>5798.96</v>
      </c>
      <c r="F457" s="6">
        <f>E457*0.22</f>
        <v/>
      </c>
      <c r="G457" s="6">
        <f>E457+F457</f>
        <v/>
      </c>
      <c r="H457" s="10" t="n">
        <v>4</v>
      </c>
      <c r="I457" s="7">
        <f>H457/(180*0.714)</f>
        <v/>
      </c>
    </row>
    <row r="458">
      <c r="A458" s="4" t="inlineStr">
        <is>
          <t>SERV-10454</t>
        </is>
      </c>
      <c r="B458" s="5" t="inlineStr">
        <is>
          <t>Professor da Educação Básica (40h)</t>
        </is>
      </c>
      <c r="C458" s="4" t="inlineStr">
        <is>
          <t>Efetivo Concursado</t>
        </is>
      </c>
      <c r="D458" s="4" t="inlineStr">
        <is>
          <t>SEC-EDU</t>
        </is>
      </c>
      <c r="E458" s="6" t="n">
        <v>5745.07</v>
      </c>
      <c r="F458" s="6">
        <f>E458*0.22</f>
        <v/>
      </c>
      <c r="G458" s="6">
        <f>E458+F458</f>
        <v/>
      </c>
      <c r="H458" s="10" t="n">
        <v>6</v>
      </c>
      <c r="I458" s="7">
        <f>H458/(180*0.714)</f>
        <v/>
      </c>
    </row>
    <row r="459">
      <c r="A459" s="4" t="inlineStr">
        <is>
          <t>SERV-10455</t>
        </is>
      </c>
      <c r="B459" s="5" t="inlineStr">
        <is>
          <t>Professor da Educação Básica (40h)</t>
        </is>
      </c>
      <c r="C459" s="4" t="inlineStr">
        <is>
          <t>Efetivo Concursado</t>
        </is>
      </c>
      <c r="D459" s="4" t="inlineStr">
        <is>
          <t>SEC-EDU</t>
        </is>
      </c>
      <c r="E459" s="6" t="n">
        <v>4921.21</v>
      </c>
      <c r="F459" s="6">
        <f>E459*0.22</f>
        <v/>
      </c>
      <c r="G459" s="6">
        <f>E459+F459</f>
        <v/>
      </c>
      <c r="H459" s="10" t="n">
        <v>7</v>
      </c>
      <c r="I459" s="7">
        <f>H459/(180*0.714)</f>
        <v/>
      </c>
    </row>
    <row r="460">
      <c r="A460" s="4" t="inlineStr">
        <is>
          <t>SERV-10456</t>
        </is>
      </c>
      <c r="B460" s="5" t="inlineStr">
        <is>
          <t>Professor da Educação Básica (40h)</t>
        </is>
      </c>
      <c r="C460" s="4" t="inlineStr">
        <is>
          <t>Efetivo Concursado</t>
        </is>
      </c>
      <c r="D460" s="4" t="inlineStr">
        <is>
          <t>SEC-EDU</t>
        </is>
      </c>
      <c r="E460" s="6" t="n">
        <v>5775.93</v>
      </c>
      <c r="F460" s="6">
        <f>E460*0.22</f>
        <v/>
      </c>
      <c r="G460" s="6">
        <f>E460+F460</f>
        <v/>
      </c>
      <c r="H460" s="10" t="n">
        <v>3</v>
      </c>
      <c r="I460" s="7">
        <f>H460/(180*0.714)</f>
        <v/>
      </c>
    </row>
    <row r="461">
      <c r="A461" s="4" t="inlineStr">
        <is>
          <t>SERV-10457</t>
        </is>
      </c>
      <c r="B461" s="5" t="inlineStr">
        <is>
          <t>Professor da Educação Básica (40h)</t>
        </is>
      </c>
      <c r="C461" s="4" t="inlineStr">
        <is>
          <t>Efetivo Concursado</t>
        </is>
      </c>
      <c r="D461" s="4" t="inlineStr">
        <is>
          <t>SEC-EDU</t>
        </is>
      </c>
      <c r="E461" s="6" t="n">
        <v>5476.81</v>
      </c>
      <c r="F461" s="6">
        <f>E461*0.22</f>
        <v/>
      </c>
      <c r="G461" s="6">
        <f>E461+F461</f>
        <v/>
      </c>
      <c r="H461" s="10" t="n">
        <v>4</v>
      </c>
      <c r="I461" s="7">
        <f>H461/(180*0.714)</f>
        <v/>
      </c>
    </row>
    <row r="462">
      <c r="A462" s="4" t="inlineStr">
        <is>
          <t>SERV-10458</t>
        </is>
      </c>
      <c r="B462" s="5" t="inlineStr">
        <is>
          <t>Professor da Educação Básica (40h)</t>
        </is>
      </c>
      <c r="C462" s="4" t="inlineStr">
        <is>
          <t>Efetivo Concursado</t>
        </is>
      </c>
      <c r="D462" s="4" t="inlineStr">
        <is>
          <t>SEC-EDU</t>
        </is>
      </c>
      <c r="E462" s="6" t="n">
        <v>5341.91</v>
      </c>
      <c r="F462" s="6">
        <f>E462*0.22</f>
        <v/>
      </c>
      <c r="G462" s="6">
        <f>E462+F462</f>
        <v/>
      </c>
      <c r="H462" s="10" t="n">
        <v>7</v>
      </c>
      <c r="I462" s="7">
        <f>H462/(180*0.714)</f>
        <v/>
      </c>
    </row>
    <row r="463">
      <c r="A463" s="4" t="inlineStr">
        <is>
          <t>SERV-10459</t>
        </is>
      </c>
      <c r="B463" s="5" t="inlineStr">
        <is>
          <t>Professor da Educação Básica (40h)</t>
        </is>
      </c>
      <c r="C463" s="4" t="inlineStr">
        <is>
          <t>Efetivo Concursado</t>
        </is>
      </c>
      <c r="D463" s="4" t="inlineStr">
        <is>
          <t>SEC-EDU</t>
        </is>
      </c>
      <c r="E463" s="6" t="n">
        <v>5755.81</v>
      </c>
      <c r="F463" s="6">
        <f>E463*0.22</f>
        <v/>
      </c>
      <c r="G463" s="6">
        <f>E463+F463</f>
        <v/>
      </c>
      <c r="H463" s="10" t="n">
        <v>3</v>
      </c>
      <c r="I463" s="7">
        <f>H463/(180*0.714)</f>
        <v/>
      </c>
    </row>
    <row r="464">
      <c r="A464" s="4" t="inlineStr">
        <is>
          <t>SERV-10460</t>
        </is>
      </c>
      <c r="B464" s="5" t="inlineStr">
        <is>
          <t>Professor da Educação Básica (40h)</t>
        </is>
      </c>
      <c r="C464" s="4" t="inlineStr">
        <is>
          <t>Efetivo Concursado</t>
        </is>
      </c>
      <c r="D464" s="4" t="inlineStr">
        <is>
          <t>SEC-EDU</t>
        </is>
      </c>
      <c r="E464" s="6" t="n">
        <v>5489.47</v>
      </c>
      <c r="F464" s="6">
        <f>E464*0.22</f>
        <v/>
      </c>
      <c r="G464" s="6">
        <f>E464+F464</f>
        <v/>
      </c>
      <c r="H464" s="10" t="n">
        <v>4</v>
      </c>
      <c r="I464" s="7">
        <f>H464/(180*0.714)</f>
        <v/>
      </c>
    </row>
    <row r="465">
      <c r="A465" s="4" t="inlineStr">
        <is>
          <t>SERV-10461</t>
        </is>
      </c>
      <c r="B465" s="5" t="inlineStr">
        <is>
          <t>Professor da Educação Básica (40h)</t>
        </is>
      </c>
      <c r="C465" s="4" t="inlineStr">
        <is>
          <t>Efetivo Concursado</t>
        </is>
      </c>
      <c r="D465" s="4" t="inlineStr">
        <is>
          <t>SEC-EDU</t>
        </is>
      </c>
      <c r="E465" s="6" t="n">
        <v>5113.31</v>
      </c>
      <c r="F465" s="6">
        <f>E465*0.22</f>
        <v/>
      </c>
      <c r="G465" s="6">
        <f>E465+F465</f>
        <v/>
      </c>
      <c r="H465" s="10" t="n">
        <v>7</v>
      </c>
      <c r="I465" s="7">
        <f>H465/(180*0.714)</f>
        <v/>
      </c>
    </row>
    <row r="466">
      <c r="A466" s="4" t="inlineStr">
        <is>
          <t>SERV-10462</t>
        </is>
      </c>
      <c r="B466" s="5" t="inlineStr">
        <is>
          <t>Professor da Educação Básica (40h)</t>
        </is>
      </c>
      <c r="C466" s="4" t="inlineStr">
        <is>
          <t>Efetivo Concursado</t>
        </is>
      </c>
      <c r="D466" s="4" t="inlineStr">
        <is>
          <t>SEC-EDU</t>
        </is>
      </c>
      <c r="E466" s="6" t="n">
        <v>5401.03</v>
      </c>
      <c r="F466" s="6">
        <f>E466*0.22</f>
        <v/>
      </c>
      <c r="G466" s="6">
        <f>E466+F466</f>
        <v/>
      </c>
      <c r="H466" s="10" t="n">
        <v>6</v>
      </c>
      <c r="I466" s="7">
        <f>H466/(180*0.714)</f>
        <v/>
      </c>
    </row>
    <row r="467">
      <c r="A467" s="4" t="inlineStr">
        <is>
          <t>SERV-10463</t>
        </is>
      </c>
      <c r="B467" s="5" t="inlineStr">
        <is>
          <t>Professor da Educação Básica (40h)</t>
        </is>
      </c>
      <c r="C467" s="4" t="inlineStr">
        <is>
          <t>Efetivo Concursado</t>
        </is>
      </c>
      <c r="D467" s="4" t="inlineStr">
        <is>
          <t>SEC-EDU</t>
        </is>
      </c>
      <c r="E467" s="6" t="n">
        <v>5494.15</v>
      </c>
      <c r="F467" s="6">
        <f>E467*0.22</f>
        <v/>
      </c>
      <c r="G467" s="6">
        <f>E467+F467</f>
        <v/>
      </c>
      <c r="H467" s="10" t="n">
        <v>4</v>
      </c>
      <c r="I467" s="7">
        <f>H467/(180*0.714)</f>
        <v/>
      </c>
    </row>
    <row r="468">
      <c r="A468" s="4" t="inlineStr">
        <is>
          <t>SERV-10464</t>
        </is>
      </c>
      <c r="B468" s="5" t="inlineStr">
        <is>
          <t>Professor da Educação Básica (40h)</t>
        </is>
      </c>
      <c r="C468" s="4" t="inlineStr">
        <is>
          <t>Efetivo Concursado</t>
        </is>
      </c>
      <c r="D468" s="4" t="inlineStr">
        <is>
          <t>SEC-EDU</t>
        </is>
      </c>
      <c r="E468" s="6" t="n">
        <v>4855.17</v>
      </c>
      <c r="F468" s="6">
        <f>E468*0.22</f>
        <v/>
      </c>
      <c r="G468" s="6">
        <f>E468+F468</f>
        <v/>
      </c>
      <c r="H468" s="10" t="n">
        <v>5</v>
      </c>
      <c r="I468" s="7">
        <f>H468/(180*0.714)</f>
        <v/>
      </c>
    </row>
    <row r="469">
      <c r="A469" s="4" t="inlineStr">
        <is>
          <t>SERV-10465</t>
        </is>
      </c>
      <c r="B469" s="5" t="inlineStr">
        <is>
          <t>Professor da Educação Básica (40h)</t>
        </is>
      </c>
      <c r="C469" s="4" t="inlineStr">
        <is>
          <t>Efetivo Concursado</t>
        </is>
      </c>
      <c r="D469" s="4" t="inlineStr">
        <is>
          <t>SEC-EDU</t>
        </is>
      </c>
      <c r="E469" s="6" t="n">
        <v>5107.19</v>
      </c>
      <c r="F469" s="6">
        <f>E469*0.22</f>
        <v/>
      </c>
      <c r="G469" s="6">
        <f>E469+F469</f>
        <v/>
      </c>
      <c r="H469" s="10" t="n">
        <v>7</v>
      </c>
      <c r="I469" s="7">
        <f>H469/(180*0.714)</f>
        <v/>
      </c>
    </row>
    <row r="470">
      <c r="A470" s="4" t="inlineStr">
        <is>
          <t>SERV-10466</t>
        </is>
      </c>
      <c r="B470" s="5" t="inlineStr">
        <is>
          <t>Professor da Educação Básica (40h)</t>
        </is>
      </c>
      <c r="C470" s="4" t="inlineStr">
        <is>
          <t>Efetivo Concursado</t>
        </is>
      </c>
      <c r="D470" s="4" t="inlineStr">
        <is>
          <t>SEC-EDU</t>
        </is>
      </c>
      <c r="E470" s="6" t="n">
        <v>5485.46</v>
      </c>
      <c r="F470" s="6">
        <f>E470*0.22</f>
        <v/>
      </c>
      <c r="G470" s="6">
        <f>E470+F470</f>
        <v/>
      </c>
      <c r="H470" s="10" t="n">
        <v>5</v>
      </c>
      <c r="I470" s="7">
        <f>H470/(180*0.714)</f>
        <v/>
      </c>
    </row>
    <row r="471">
      <c r="A471" s="4" t="inlineStr">
        <is>
          <t>SERV-10467</t>
        </is>
      </c>
      <c r="B471" s="5" t="inlineStr">
        <is>
          <t>Professor da Educação Básica (40h)</t>
        </is>
      </c>
      <c r="C471" s="4" t="inlineStr">
        <is>
          <t>Efetivo Concursado</t>
        </is>
      </c>
      <c r="D471" s="4" t="inlineStr">
        <is>
          <t>SEC-EDU</t>
        </is>
      </c>
      <c r="E471" s="6" t="n">
        <v>5181.88</v>
      </c>
      <c r="F471" s="6">
        <f>E471*0.22</f>
        <v/>
      </c>
      <c r="G471" s="6">
        <f>E471+F471</f>
        <v/>
      </c>
      <c r="H471" s="10" t="n">
        <v>7</v>
      </c>
      <c r="I471" s="7">
        <f>H471/(180*0.714)</f>
        <v/>
      </c>
    </row>
    <row r="472">
      <c r="A472" s="4" t="inlineStr">
        <is>
          <t>SERV-10468</t>
        </is>
      </c>
      <c r="B472" s="5" t="inlineStr">
        <is>
          <t>Professor da Educação Básica (40h)</t>
        </is>
      </c>
      <c r="C472" s="4" t="inlineStr">
        <is>
          <t>Efetivo Concursado</t>
        </is>
      </c>
      <c r="D472" s="4" t="inlineStr">
        <is>
          <t>SEC-EDU</t>
        </is>
      </c>
      <c r="E472" s="6" t="n">
        <v>5534.08</v>
      </c>
      <c r="F472" s="6">
        <f>E472*0.22</f>
        <v/>
      </c>
      <c r="G472" s="6">
        <f>E472+F472</f>
        <v/>
      </c>
      <c r="H472" s="10" t="n">
        <v>3</v>
      </c>
      <c r="I472" s="7">
        <f>H472/(180*0.714)</f>
        <v/>
      </c>
    </row>
    <row r="473">
      <c r="A473" s="4" t="inlineStr">
        <is>
          <t>SERV-10469</t>
        </is>
      </c>
      <c r="B473" s="5" t="inlineStr">
        <is>
          <t>Professor da Educação Básica (40h)</t>
        </is>
      </c>
      <c r="C473" s="4" t="inlineStr">
        <is>
          <t>Efetivo Concursado</t>
        </is>
      </c>
      <c r="D473" s="4" t="inlineStr">
        <is>
          <t>SEC-EDU</t>
        </is>
      </c>
      <c r="E473" s="6" t="n">
        <v>5608.73</v>
      </c>
      <c r="F473" s="6">
        <f>E473*0.22</f>
        <v/>
      </c>
      <c r="G473" s="6">
        <f>E473+F473</f>
        <v/>
      </c>
      <c r="H473" s="10" t="n">
        <v>5</v>
      </c>
      <c r="I473" s="7">
        <f>H473/(180*0.714)</f>
        <v/>
      </c>
    </row>
    <row r="474">
      <c r="A474" s="4" t="inlineStr">
        <is>
          <t>SERV-10470</t>
        </is>
      </c>
      <c r="B474" s="5" t="inlineStr">
        <is>
          <t>Professor da Educação Básica (40h)</t>
        </is>
      </c>
      <c r="C474" s="4" t="inlineStr">
        <is>
          <t>Efetivo Concursado</t>
        </is>
      </c>
      <c r="D474" s="4" t="inlineStr">
        <is>
          <t>SEC-EDU</t>
        </is>
      </c>
      <c r="E474" s="6" t="n">
        <v>5141.12</v>
      </c>
      <c r="F474" s="6">
        <f>E474*0.22</f>
        <v/>
      </c>
      <c r="G474" s="6">
        <f>E474+F474</f>
        <v/>
      </c>
      <c r="H474" s="10" t="n">
        <v>5</v>
      </c>
      <c r="I474" s="7">
        <f>H474/(180*0.714)</f>
        <v/>
      </c>
    </row>
    <row r="475">
      <c r="A475" s="4" t="inlineStr">
        <is>
          <t>SERV-10471</t>
        </is>
      </c>
      <c r="B475" s="5" t="inlineStr">
        <is>
          <t>Professor da Educação Básica (40h)</t>
        </is>
      </c>
      <c r="C475" s="4" t="inlineStr">
        <is>
          <t>Efetivo Concursado</t>
        </is>
      </c>
      <c r="D475" s="4" t="inlineStr">
        <is>
          <t>SEC-EDU</t>
        </is>
      </c>
      <c r="E475" s="6" t="n">
        <v>5691.14</v>
      </c>
      <c r="F475" s="6">
        <f>E475*0.22</f>
        <v/>
      </c>
      <c r="G475" s="6">
        <f>E475+F475</f>
        <v/>
      </c>
      <c r="H475" s="10" t="n">
        <v>3</v>
      </c>
      <c r="I475" s="7">
        <f>H475/(180*0.714)</f>
        <v/>
      </c>
    </row>
    <row r="476">
      <c r="A476" s="4" t="inlineStr">
        <is>
          <t>SERV-10472</t>
        </is>
      </c>
      <c r="B476" s="5" t="inlineStr">
        <is>
          <t>Professor da Educação Básica (40h)</t>
        </is>
      </c>
      <c r="C476" s="4" t="inlineStr">
        <is>
          <t>Efetivo Concursado</t>
        </is>
      </c>
      <c r="D476" s="4" t="inlineStr">
        <is>
          <t>SEC-EDU</t>
        </is>
      </c>
      <c r="E476" s="6" t="n">
        <v>4958.15</v>
      </c>
      <c r="F476" s="6">
        <f>E476*0.22</f>
        <v/>
      </c>
      <c r="G476" s="6">
        <f>E476+F476</f>
        <v/>
      </c>
      <c r="H476" s="10" t="n">
        <v>2</v>
      </c>
      <c r="I476" s="7">
        <f>H476/(180*0.714)</f>
        <v/>
      </c>
    </row>
    <row r="477">
      <c r="A477" s="4" t="inlineStr">
        <is>
          <t>SERV-10473</t>
        </is>
      </c>
      <c r="B477" s="5" t="inlineStr">
        <is>
          <t>Professor da Educação Básica (40h)</t>
        </is>
      </c>
      <c r="C477" s="4" t="inlineStr">
        <is>
          <t>Efetivo Concursado</t>
        </is>
      </c>
      <c r="D477" s="4" t="inlineStr">
        <is>
          <t>SEC-EDU</t>
        </is>
      </c>
      <c r="E477" s="6" t="n">
        <v>4968.17</v>
      </c>
      <c r="F477" s="6">
        <f>E477*0.22</f>
        <v/>
      </c>
      <c r="G477" s="6">
        <f>E477+F477</f>
        <v/>
      </c>
      <c r="H477" s="10" t="n">
        <v>7</v>
      </c>
      <c r="I477" s="7">
        <f>H477/(180*0.714)</f>
        <v/>
      </c>
    </row>
    <row r="478">
      <c r="A478" s="4" t="inlineStr">
        <is>
          <t>SERV-10474</t>
        </is>
      </c>
      <c r="B478" s="5" t="inlineStr">
        <is>
          <t>Professor da Educação Básica (40h)</t>
        </is>
      </c>
      <c r="C478" s="4" t="inlineStr">
        <is>
          <t>Efetivo Concursado</t>
        </is>
      </c>
      <c r="D478" s="4" t="inlineStr">
        <is>
          <t>SEC-EDU</t>
        </is>
      </c>
      <c r="E478" s="6" t="n">
        <v>4908.68</v>
      </c>
      <c r="F478" s="6">
        <f>E478*0.22</f>
        <v/>
      </c>
      <c r="G478" s="6">
        <f>E478+F478</f>
        <v/>
      </c>
      <c r="H478" s="10" t="n">
        <v>6</v>
      </c>
      <c r="I478" s="7">
        <f>H478/(180*0.714)</f>
        <v/>
      </c>
    </row>
    <row r="479">
      <c r="A479" s="4" t="inlineStr">
        <is>
          <t>SERV-10475</t>
        </is>
      </c>
      <c r="B479" s="5" t="inlineStr">
        <is>
          <t>Professor da Educação Básica (40h)</t>
        </is>
      </c>
      <c r="C479" s="4" t="inlineStr">
        <is>
          <t>Efetivo Concursado</t>
        </is>
      </c>
      <c r="D479" s="4" t="inlineStr">
        <is>
          <t>SEC-EDU</t>
        </is>
      </c>
      <c r="E479" s="6" t="n">
        <v>4892.39</v>
      </c>
      <c r="F479" s="6">
        <f>E479*0.22</f>
        <v/>
      </c>
      <c r="G479" s="6">
        <f>E479+F479</f>
        <v/>
      </c>
      <c r="H479" s="10" t="n">
        <v>7</v>
      </c>
      <c r="I479" s="7">
        <f>H479/(180*0.714)</f>
        <v/>
      </c>
    </row>
    <row r="480">
      <c r="A480" s="4" t="inlineStr">
        <is>
          <t>SERV-10476</t>
        </is>
      </c>
      <c r="B480" s="5" t="inlineStr">
        <is>
          <t>Professor da Educação Básica (40h)</t>
        </is>
      </c>
      <c r="C480" s="4" t="inlineStr">
        <is>
          <t>Efetivo Concursado</t>
        </is>
      </c>
      <c r="D480" s="4" t="inlineStr">
        <is>
          <t>SEC-EDU</t>
        </is>
      </c>
      <c r="E480" s="6" t="n">
        <v>5265.74</v>
      </c>
      <c r="F480" s="6">
        <f>E480*0.22</f>
        <v/>
      </c>
      <c r="G480" s="6">
        <f>E480+F480</f>
        <v/>
      </c>
      <c r="H480" s="10" t="n">
        <v>4</v>
      </c>
      <c r="I480" s="7">
        <f>H480/(180*0.714)</f>
        <v/>
      </c>
    </row>
    <row r="481">
      <c r="A481" s="4" t="inlineStr">
        <is>
          <t>SERV-10477</t>
        </is>
      </c>
      <c r="B481" s="5" t="inlineStr">
        <is>
          <t>Professor da Educação Básica (40h)</t>
        </is>
      </c>
      <c r="C481" s="4" t="inlineStr">
        <is>
          <t>Efetivo Concursado</t>
        </is>
      </c>
      <c r="D481" s="4" t="inlineStr">
        <is>
          <t>SEC-EDU</t>
        </is>
      </c>
      <c r="E481" s="6" t="n">
        <v>5019.04</v>
      </c>
      <c r="F481" s="6">
        <f>E481*0.22</f>
        <v/>
      </c>
      <c r="G481" s="6">
        <f>E481+F481</f>
        <v/>
      </c>
      <c r="H481" s="10" t="n">
        <v>2</v>
      </c>
      <c r="I481" s="7">
        <f>H481/(180*0.714)</f>
        <v/>
      </c>
    </row>
    <row r="482">
      <c r="A482" s="4" t="inlineStr">
        <is>
          <t>SERV-10478</t>
        </is>
      </c>
      <c r="B482" s="5" t="inlineStr">
        <is>
          <t>Professor da Educação Básica (40h)</t>
        </is>
      </c>
      <c r="C482" s="4" t="inlineStr">
        <is>
          <t>Efetivo Concursado</t>
        </is>
      </c>
      <c r="D482" s="4" t="inlineStr">
        <is>
          <t>SEC-EDU</t>
        </is>
      </c>
      <c r="E482" s="6" t="n">
        <v>5602.16</v>
      </c>
      <c r="F482" s="6">
        <f>E482*0.22</f>
        <v/>
      </c>
      <c r="G482" s="6">
        <f>E482+F482</f>
        <v/>
      </c>
      <c r="H482" s="10" t="n">
        <v>4</v>
      </c>
      <c r="I482" s="7">
        <f>H482/(180*0.714)</f>
        <v/>
      </c>
    </row>
    <row r="483">
      <c r="A483" s="4" t="inlineStr">
        <is>
          <t>SERV-10479</t>
        </is>
      </c>
      <c r="B483" s="5" t="inlineStr">
        <is>
          <t>Professor da Educação Básica (40h)</t>
        </is>
      </c>
      <c r="C483" s="4" t="inlineStr">
        <is>
          <t>Efetivo Concursado</t>
        </is>
      </c>
      <c r="D483" s="4" t="inlineStr">
        <is>
          <t>SEC-EDU</t>
        </is>
      </c>
      <c r="E483" s="6" t="n">
        <v>5420.27</v>
      </c>
      <c r="F483" s="6">
        <f>E483*0.22</f>
        <v/>
      </c>
      <c r="G483" s="6">
        <f>E483+F483</f>
        <v/>
      </c>
      <c r="H483" s="10" t="n">
        <v>3</v>
      </c>
      <c r="I483" s="7">
        <f>H483/(180*0.714)</f>
        <v/>
      </c>
    </row>
    <row r="484">
      <c r="A484" s="4" t="inlineStr">
        <is>
          <t>SERV-10480</t>
        </is>
      </c>
      <c r="B484" s="5" t="inlineStr">
        <is>
          <t>Professor da Educação Básica (40h)</t>
        </is>
      </c>
      <c r="C484" s="4" t="inlineStr">
        <is>
          <t>Efetivo Concursado</t>
        </is>
      </c>
      <c r="D484" s="4" t="inlineStr">
        <is>
          <t>SEC-EDU</t>
        </is>
      </c>
      <c r="E484" s="6" t="n">
        <v>5371.1</v>
      </c>
      <c r="F484" s="6">
        <f>E484*0.22</f>
        <v/>
      </c>
      <c r="G484" s="6">
        <f>E484+F484</f>
        <v/>
      </c>
      <c r="H484" s="10" t="n">
        <v>3</v>
      </c>
      <c r="I484" s="7">
        <f>H484/(180*0.714)</f>
        <v/>
      </c>
    </row>
    <row r="485">
      <c r="A485" s="4" t="inlineStr">
        <is>
          <t>SERV-10481</t>
        </is>
      </c>
      <c r="B485" s="5" t="inlineStr">
        <is>
          <t>Professor da Educação Básica (40h)</t>
        </is>
      </c>
      <c r="C485" s="4" t="inlineStr">
        <is>
          <t>Efetivo Concursado</t>
        </is>
      </c>
      <c r="D485" s="4" t="inlineStr">
        <is>
          <t>SEC-EDU</t>
        </is>
      </c>
      <c r="E485" s="6" t="n">
        <v>5034.65</v>
      </c>
      <c r="F485" s="6">
        <f>E485*0.22</f>
        <v/>
      </c>
      <c r="G485" s="6">
        <f>E485+F485</f>
        <v/>
      </c>
      <c r="H485" s="10" t="n">
        <v>5</v>
      </c>
      <c r="I485" s="7">
        <f>H485/(180*0.714)</f>
        <v/>
      </c>
    </row>
    <row r="486">
      <c r="A486" s="4" t="inlineStr">
        <is>
          <t>SERV-10482</t>
        </is>
      </c>
      <c r="B486" s="5" t="inlineStr">
        <is>
          <t>Professor da Educação Básica (40h)</t>
        </is>
      </c>
      <c r="C486" s="4" t="inlineStr">
        <is>
          <t>Efetivo Concursado</t>
        </is>
      </c>
      <c r="D486" s="4" t="inlineStr">
        <is>
          <t>SEC-EDU</t>
        </is>
      </c>
      <c r="E486" s="6" t="n">
        <v>5195.8</v>
      </c>
      <c r="F486" s="6">
        <f>E486*0.22</f>
        <v/>
      </c>
      <c r="G486" s="6">
        <f>E486+F486</f>
        <v/>
      </c>
      <c r="H486" s="10" t="n">
        <v>2</v>
      </c>
      <c r="I486" s="7">
        <f>H486/(180*0.714)</f>
        <v/>
      </c>
    </row>
    <row r="487">
      <c r="A487" s="4" t="inlineStr">
        <is>
          <t>SERV-10483</t>
        </is>
      </c>
      <c r="B487" s="5" t="inlineStr">
        <is>
          <t>Professor da Educação Básica (40h)</t>
        </is>
      </c>
      <c r="C487" s="4" t="inlineStr">
        <is>
          <t>Efetivo Concursado</t>
        </is>
      </c>
      <c r="D487" s="4" t="inlineStr">
        <is>
          <t>SEC-EDU</t>
        </is>
      </c>
      <c r="E487" s="6" t="n">
        <v>5157.59</v>
      </c>
      <c r="F487" s="6">
        <f>E487*0.22</f>
        <v/>
      </c>
      <c r="G487" s="6">
        <f>E487+F487</f>
        <v/>
      </c>
      <c r="H487" s="10" t="n">
        <v>7</v>
      </c>
      <c r="I487" s="7">
        <f>H487/(180*0.714)</f>
        <v/>
      </c>
    </row>
    <row r="488">
      <c r="A488" s="4" t="inlineStr">
        <is>
          <t>SERV-10484</t>
        </is>
      </c>
      <c r="B488" s="5" t="inlineStr">
        <is>
          <t>Professor da Educação Básica (40h)</t>
        </is>
      </c>
      <c r="C488" s="4" t="inlineStr">
        <is>
          <t>Efetivo Concursado</t>
        </is>
      </c>
      <c r="D488" s="4" t="inlineStr">
        <is>
          <t>SEC-EDU</t>
        </is>
      </c>
      <c r="E488" s="6" t="n">
        <v>5321.85</v>
      </c>
      <c r="F488" s="6">
        <f>E488*0.22</f>
        <v/>
      </c>
      <c r="G488" s="6">
        <f>E488+F488</f>
        <v/>
      </c>
      <c r="H488" s="10" t="n">
        <v>4</v>
      </c>
      <c r="I488" s="7">
        <f>H488/(180*0.714)</f>
        <v/>
      </c>
    </row>
    <row r="489">
      <c r="A489" s="4" t="inlineStr">
        <is>
          <t>SERV-10485</t>
        </is>
      </c>
      <c r="B489" s="5" t="inlineStr">
        <is>
          <t>Professor da Educação Básica (40h)</t>
        </is>
      </c>
      <c r="C489" s="4" t="inlineStr">
        <is>
          <t>Efetivo Concursado</t>
        </is>
      </c>
      <c r="D489" s="4" t="inlineStr">
        <is>
          <t>SEC-EDU</t>
        </is>
      </c>
      <c r="E489" s="6" t="n">
        <v>4978.46</v>
      </c>
      <c r="F489" s="6">
        <f>E489*0.22</f>
        <v/>
      </c>
      <c r="G489" s="6">
        <f>E489+F489</f>
        <v/>
      </c>
      <c r="H489" s="10" t="n">
        <v>5</v>
      </c>
      <c r="I489" s="7">
        <f>H489/(180*0.714)</f>
        <v/>
      </c>
    </row>
    <row r="490">
      <c r="A490" s="4" t="inlineStr">
        <is>
          <t>SERV-10486</t>
        </is>
      </c>
      <c r="B490" s="5" t="inlineStr">
        <is>
          <t>Professor da Educação Básica (40h)</t>
        </is>
      </c>
      <c r="C490" s="4" t="inlineStr">
        <is>
          <t>Efetivo Concursado</t>
        </is>
      </c>
      <c r="D490" s="4" t="inlineStr">
        <is>
          <t>SEC-EDU</t>
        </is>
      </c>
      <c r="E490" s="6" t="n">
        <v>5761.63</v>
      </c>
      <c r="F490" s="6">
        <f>E490*0.22</f>
        <v/>
      </c>
      <c r="G490" s="6">
        <f>E490+F490</f>
        <v/>
      </c>
      <c r="H490" s="10" t="n">
        <v>2</v>
      </c>
      <c r="I490" s="7">
        <f>H490/(180*0.714)</f>
        <v/>
      </c>
    </row>
    <row r="491">
      <c r="A491" s="4" t="inlineStr">
        <is>
          <t>SERV-10487</t>
        </is>
      </c>
      <c r="B491" s="5" t="inlineStr">
        <is>
          <t>Professor da Educação Básica (40h)</t>
        </is>
      </c>
      <c r="C491" s="4" t="inlineStr">
        <is>
          <t>Efetivo Concursado</t>
        </is>
      </c>
      <c r="D491" s="4" t="inlineStr">
        <is>
          <t>SEC-EDU</t>
        </is>
      </c>
      <c r="E491" s="6" t="n">
        <v>5139.42</v>
      </c>
      <c r="F491" s="6">
        <f>E491*0.22</f>
        <v/>
      </c>
      <c r="G491" s="6">
        <f>E491+F491</f>
        <v/>
      </c>
      <c r="H491" s="10" t="n">
        <v>7</v>
      </c>
      <c r="I491" s="7">
        <f>H491/(180*0.714)</f>
        <v/>
      </c>
    </row>
    <row r="492">
      <c r="A492" s="4" t="inlineStr">
        <is>
          <t>SERV-10488</t>
        </is>
      </c>
      <c r="B492" s="5" t="inlineStr">
        <is>
          <t>Professor da Educação Básica (40h)</t>
        </is>
      </c>
      <c r="C492" s="4" t="inlineStr">
        <is>
          <t>Efetivo Concursado</t>
        </is>
      </c>
      <c r="D492" s="4" t="inlineStr">
        <is>
          <t>SEC-EDU</t>
        </is>
      </c>
      <c r="E492" s="6" t="n">
        <v>5302.28</v>
      </c>
      <c r="F492" s="6">
        <f>E492*0.22</f>
        <v/>
      </c>
      <c r="G492" s="6">
        <f>E492+F492</f>
        <v/>
      </c>
      <c r="H492" s="10" t="n">
        <v>7</v>
      </c>
      <c r="I492" s="7">
        <f>H492/(180*0.714)</f>
        <v/>
      </c>
    </row>
    <row r="493">
      <c r="A493" s="4" t="inlineStr">
        <is>
          <t>SERV-10489</t>
        </is>
      </c>
      <c r="B493" s="5" t="inlineStr">
        <is>
          <t>Professor da Educação Básica (40h)</t>
        </is>
      </c>
      <c r="C493" s="4" t="inlineStr">
        <is>
          <t>Efetivo Concursado</t>
        </is>
      </c>
      <c r="D493" s="4" t="inlineStr">
        <is>
          <t>SEC-EDU</t>
        </is>
      </c>
      <c r="E493" s="6" t="n">
        <v>5053.79</v>
      </c>
      <c r="F493" s="6">
        <f>E493*0.22</f>
        <v/>
      </c>
      <c r="G493" s="6">
        <f>E493+F493</f>
        <v/>
      </c>
      <c r="H493" s="10" t="n">
        <v>2</v>
      </c>
      <c r="I493" s="7">
        <f>H493/(180*0.714)</f>
        <v/>
      </c>
    </row>
    <row r="494">
      <c r="A494" s="4" t="inlineStr">
        <is>
          <t>SERV-10490</t>
        </is>
      </c>
      <c r="B494" s="5" t="inlineStr">
        <is>
          <t>Professor da Educação Básica (40h)</t>
        </is>
      </c>
      <c r="C494" s="4" t="inlineStr">
        <is>
          <t>Efetivo Concursado</t>
        </is>
      </c>
      <c r="D494" s="4" t="inlineStr">
        <is>
          <t>SEC-EDU</t>
        </is>
      </c>
      <c r="E494" s="6" t="n">
        <v>5560.4</v>
      </c>
      <c r="F494" s="6">
        <f>E494*0.22</f>
        <v/>
      </c>
      <c r="G494" s="6">
        <f>E494+F494</f>
        <v/>
      </c>
      <c r="H494" s="10" t="n">
        <v>2</v>
      </c>
      <c r="I494" s="7">
        <f>H494/(180*0.714)</f>
        <v/>
      </c>
    </row>
    <row r="495">
      <c r="A495" s="4" t="inlineStr">
        <is>
          <t>SERV-10491</t>
        </is>
      </c>
      <c r="B495" s="5" t="inlineStr">
        <is>
          <t>Professor da Educação Básica (40h)</t>
        </is>
      </c>
      <c r="C495" s="4" t="inlineStr">
        <is>
          <t>Efetivo Concursado</t>
        </is>
      </c>
      <c r="D495" s="4" t="inlineStr">
        <is>
          <t>SEC-EDU</t>
        </is>
      </c>
      <c r="E495" s="6" t="n">
        <v>4835.29</v>
      </c>
      <c r="F495" s="6">
        <f>E495*0.22</f>
        <v/>
      </c>
      <c r="G495" s="6">
        <f>E495+F495</f>
        <v/>
      </c>
      <c r="H495" s="10" t="n">
        <v>2</v>
      </c>
      <c r="I495" s="7">
        <f>H495/(180*0.714)</f>
        <v/>
      </c>
    </row>
    <row r="496">
      <c r="A496" s="4" t="inlineStr">
        <is>
          <t>SERV-10492</t>
        </is>
      </c>
      <c r="B496" s="5" t="inlineStr">
        <is>
          <t>Professor da Educação Básica (40h)</t>
        </is>
      </c>
      <c r="C496" s="4" t="inlineStr">
        <is>
          <t>Efetivo Concursado</t>
        </is>
      </c>
      <c r="D496" s="4" t="inlineStr">
        <is>
          <t>SEC-EDU</t>
        </is>
      </c>
      <c r="E496" s="6" t="n">
        <v>5551.79</v>
      </c>
      <c r="F496" s="6">
        <f>E496*0.22</f>
        <v/>
      </c>
      <c r="G496" s="6">
        <f>E496+F496</f>
        <v/>
      </c>
      <c r="H496" s="10" t="n">
        <v>7</v>
      </c>
      <c r="I496" s="7">
        <f>H496/(180*0.714)</f>
        <v/>
      </c>
    </row>
    <row r="497">
      <c r="A497" s="4" t="inlineStr">
        <is>
          <t>SERV-10493</t>
        </is>
      </c>
      <c r="B497" s="5" t="inlineStr">
        <is>
          <t>Professor da Educação Básica (40h)</t>
        </is>
      </c>
      <c r="C497" s="4" t="inlineStr">
        <is>
          <t>Efetivo Concursado</t>
        </is>
      </c>
      <c r="D497" s="4" t="inlineStr">
        <is>
          <t>SEC-EDU</t>
        </is>
      </c>
      <c r="E497" s="6" t="n">
        <v>5402.89</v>
      </c>
      <c r="F497" s="6">
        <f>E497*0.22</f>
        <v/>
      </c>
      <c r="G497" s="6">
        <f>E497+F497</f>
        <v/>
      </c>
      <c r="H497" s="10" t="n">
        <v>5</v>
      </c>
      <c r="I497" s="7">
        <f>H497/(180*0.714)</f>
        <v/>
      </c>
    </row>
    <row r="498">
      <c r="A498" s="4" t="inlineStr">
        <is>
          <t>SERV-10494</t>
        </is>
      </c>
      <c r="B498" s="5" t="inlineStr">
        <is>
          <t>Professor da Educação Básica (40h)</t>
        </is>
      </c>
      <c r="C498" s="4" t="inlineStr">
        <is>
          <t>Efetivo Concursado</t>
        </is>
      </c>
      <c r="D498" s="4" t="inlineStr">
        <is>
          <t>SEC-EDU</t>
        </is>
      </c>
      <c r="E498" s="6" t="n">
        <v>5804.05</v>
      </c>
      <c r="F498" s="6">
        <f>E498*0.22</f>
        <v/>
      </c>
      <c r="G498" s="6">
        <f>E498+F498</f>
        <v/>
      </c>
      <c r="H498" s="10" t="n">
        <v>6</v>
      </c>
      <c r="I498" s="7">
        <f>H498/(180*0.714)</f>
        <v/>
      </c>
    </row>
    <row r="499">
      <c r="A499" s="4" t="inlineStr">
        <is>
          <t>SERV-10495</t>
        </is>
      </c>
      <c r="B499" s="5" t="inlineStr">
        <is>
          <t>Professor da Educação Básica (40h)</t>
        </is>
      </c>
      <c r="C499" s="4" t="inlineStr">
        <is>
          <t>Efetivo Concursado</t>
        </is>
      </c>
      <c r="D499" s="4" t="inlineStr">
        <is>
          <t>SEC-EDU</t>
        </is>
      </c>
      <c r="E499" s="6" t="n">
        <v>5098.16</v>
      </c>
      <c r="F499" s="6">
        <f>E499*0.22</f>
        <v/>
      </c>
      <c r="G499" s="6">
        <f>E499+F499</f>
        <v/>
      </c>
      <c r="H499" s="10" t="n">
        <v>7</v>
      </c>
      <c r="I499" s="7">
        <f>H499/(180*0.714)</f>
        <v/>
      </c>
    </row>
    <row r="500">
      <c r="A500" s="4" t="inlineStr">
        <is>
          <t>SERV-10496</t>
        </is>
      </c>
      <c r="B500" s="5" t="inlineStr">
        <is>
          <t>Professor da Educação Básica (40h)</t>
        </is>
      </c>
      <c r="C500" s="4" t="inlineStr">
        <is>
          <t>Efetivo Concursado</t>
        </is>
      </c>
      <c r="D500" s="4" t="inlineStr">
        <is>
          <t>SEC-EDU</t>
        </is>
      </c>
      <c r="E500" s="6" t="n">
        <v>4824.79</v>
      </c>
      <c r="F500" s="6">
        <f>E500*0.22</f>
        <v/>
      </c>
      <c r="G500" s="6">
        <f>E500+F500</f>
        <v/>
      </c>
      <c r="H500" s="10" t="n">
        <v>4</v>
      </c>
      <c r="I500" s="7">
        <f>H500/(180*0.714)</f>
        <v/>
      </c>
    </row>
    <row r="501">
      <c r="A501" s="4" t="inlineStr">
        <is>
          <t>SERV-10497</t>
        </is>
      </c>
      <c r="B501" s="5" t="inlineStr">
        <is>
          <t>Professor da Educação Básica (40h)</t>
        </is>
      </c>
      <c r="C501" s="4" t="inlineStr">
        <is>
          <t>Efetivo Concursado</t>
        </is>
      </c>
      <c r="D501" s="4" t="inlineStr">
        <is>
          <t>SEC-EDU</t>
        </is>
      </c>
      <c r="E501" s="6" t="n">
        <v>5356.78</v>
      </c>
      <c r="F501" s="6">
        <f>E501*0.22</f>
        <v/>
      </c>
      <c r="G501" s="6">
        <f>E501+F501</f>
        <v/>
      </c>
      <c r="H501" s="10" t="n">
        <v>5</v>
      </c>
      <c r="I501" s="7">
        <f>H501/(180*0.714)</f>
        <v/>
      </c>
    </row>
    <row r="502">
      <c r="A502" s="4" t="inlineStr">
        <is>
          <t>SERV-10498</t>
        </is>
      </c>
      <c r="B502" s="5" t="inlineStr">
        <is>
          <t>Professor da Educação Básica (40h)</t>
        </is>
      </c>
      <c r="C502" s="4" t="inlineStr">
        <is>
          <t>Efetivo Concursado</t>
        </is>
      </c>
      <c r="D502" s="4" t="inlineStr">
        <is>
          <t>SEC-EDU</t>
        </is>
      </c>
      <c r="E502" s="6" t="n">
        <v>5470.85</v>
      </c>
      <c r="F502" s="6">
        <f>E502*0.22</f>
        <v/>
      </c>
      <c r="G502" s="6">
        <f>E502+F502</f>
        <v/>
      </c>
      <c r="H502" s="10" t="n">
        <v>3</v>
      </c>
      <c r="I502" s="7">
        <f>H502/(180*0.714)</f>
        <v/>
      </c>
    </row>
    <row r="503">
      <c r="A503" s="4" t="inlineStr">
        <is>
          <t>SERV-10499</t>
        </is>
      </c>
      <c r="B503" s="5" t="inlineStr">
        <is>
          <t>Professor da Educação Básica (40h)</t>
        </is>
      </c>
      <c r="C503" s="4" t="inlineStr">
        <is>
          <t>Efetivo Concursado</t>
        </is>
      </c>
      <c r="D503" s="4" t="inlineStr">
        <is>
          <t>SEC-EDU</t>
        </is>
      </c>
      <c r="E503" s="6" t="n">
        <v>5197.56</v>
      </c>
      <c r="F503" s="6">
        <f>E503*0.22</f>
        <v/>
      </c>
      <c r="G503" s="6">
        <f>E503+F503</f>
        <v/>
      </c>
      <c r="H503" s="10" t="n">
        <v>7</v>
      </c>
      <c r="I503" s="7">
        <f>H503/(180*0.714)</f>
        <v/>
      </c>
    </row>
    <row r="504">
      <c r="A504" s="4" t="inlineStr">
        <is>
          <t>SERV-10500</t>
        </is>
      </c>
      <c r="B504" s="5" t="inlineStr">
        <is>
          <t>Professor da Educação Básica (40h)</t>
        </is>
      </c>
      <c r="C504" s="4" t="inlineStr">
        <is>
          <t>Efetivo Concursado</t>
        </is>
      </c>
      <c r="D504" s="4" t="inlineStr">
        <is>
          <t>SEC-EDU</t>
        </is>
      </c>
      <c r="E504" s="6" t="n">
        <v>4962.16</v>
      </c>
      <c r="F504" s="6">
        <f>E504*0.22</f>
        <v/>
      </c>
      <c r="G504" s="6">
        <f>E504+F504</f>
        <v/>
      </c>
      <c r="H504" s="10" t="n">
        <v>2</v>
      </c>
      <c r="I504" s="7">
        <f>H504/(180*0.714)</f>
        <v/>
      </c>
    </row>
    <row r="505">
      <c r="A505" s="4" t="inlineStr">
        <is>
          <t>SERV-10501</t>
        </is>
      </c>
      <c r="B505" s="5" t="inlineStr">
        <is>
          <t>Professor da Educação Básica (40h)</t>
        </is>
      </c>
      <c r="C505" s="4" t="inlineStr">
        <is>
          <t>Efetivo Concursado</t>
        </is>
      </c>
      <c r="D505" s="4" t="inlineStr">
        <is>
          <t>SEC-EDU</t>
        </is>
      </c>
      <c r="E505" s="6" t="n">
        <v>5347.31</v>
      </c>
      <c r="F505" s="6">
        <f>E505*0.22</f>
        <v/>
      </c>
      <c r="G505" s="6">
        <f>E505+F505</f>
        <v/>
      </c>
      <c r="H505" s="10" t="n">
        <v>6</v>
      </c>
      <c r="I505" s="7">
        <f>H505/(180*0.714)</f>
        <v/>
      </c>
    </row>
    <row r="506">
      <c r="A506" s="4" t="inlineStr">
        <is>
          <t>SERV-10502</t>
        </is>
      </c>
      <c r="B506" s="5" t="inlineStr">
        <is>
          <t>Professor da Educação Básica (40h)</t>
        </is>
      </c>
      <c r="C506" s="4" t="inlineStr">
        <is>
          <t>Efetivo Concursado</t>
        </is>
      </c>
      <c r="D506" s="4" t="inlineStr">
        <is>
          <t>SEC-EDU</t>
        </is>
      </c>
      <c r="E506" s="6" t="n">
        <v>5686.79</v>
      </c>
      <c r="F506" s="6">
        <f>E506*0.22</f>
        <v/>
      </c>
      <c r="G506" s="6">
        <f>E506+F506</f>
        <v/>
      </c>
      <c r="H506" s="10" t="n">
        <v>4</v>
      </c>
      <c r="I506" s="7">
        <f>H506/(180*0.714)</f>
        <v/>
      </c>
    </row>
    <row r="507">
      <c r="A507" s="4" t="inlineStr">
        <is>
          <t>SERV-10503</t>
        </is>
      </c>
      <c r="B507" s="5" t="inlineStr">
        <is>
          <t>Professor da Educação Básica (40h)</t>
        </is>
      </c>
      <c r="C507" s="4" t="inlineStr">
        <is>
          <t>Efetivo Concursado</t>
        </is>
      </c>
      <c r="D507" s="4" t="inlineStr">
        <is>
          <t>SEC-EDU</t>
        </is>
      </c>
      <c r="E507" s="6" t="n">
        <v>5486.51</v>
      </c>
      <c r="F507" s="6">
        <f>E507*0.22</f>
        <v/>
      </c>
      <c r="G507" s="6">
        <f>E507+F507</f>
        <v/>
      </c>
      <c r="H507" s="10" t="n">
        <v>2</v>
      </c>
      <c r="I507" s="7">
        <f>H507/(180*0.714)</f>
        <v/>
      </c>
    </row>
    <row r="508">
      <c r="A508" s="4" t="inlineStr">
        <is>
          <t>SERV-10504</t>
        </is>
      </c>
      <c r="B508" s="5" t="inlineStr">
        <is>
          <t>Professor da Educação Básica (40h)</t>
        </is>
      </c>
      <c r="C508" s="4" t="inlineStr">
        <is>
          <t>Efetivo Concursado</t>
        </is>
      </c>
      <c r="D508" s="4" t="inlineStr">
        <is>
          <t>SEC-EDU</t>
        </is>
      </c>
      <c r="E508" s="6" t="n">
        <v>5350.55</v>
      </c>
      <c r="F508" s="6">
        <f>E508*0.22</f>
        <v/>
      </c>
      <c r="G508" s="6">
        <f>E508+F508</f>
        <v/>
      </c>
      <c r="H508" s="10" t="n">
        <v>3</v>
      </c>
      <c r="I508" s="7">
        <f>H508/(180*0.714)</f>
        <v/>
      </c>
    </row>
    <row r="509">
      <c r="A509" s="4" t="inlineStr">
        <is>
          <t>SERV-10505</t>
        </is>
      </c>
      <c r="B509" s="5" t="inlineStr">
        <is>
          <t>Professor da Educação Básica (40h)</t>
        </is>
      </c>
      <c r="C509" s="4" t="inlineStr">
        <is>
          <t>Efetivo Concursado</t>
        </is>
      </c>
      <c r="D509" s="4" t="inlineStr">
        <is>
          <t>SEC-EDU</t>
        </is>
      </c>
      <c r="E509" s="6" t="n">
        <v>5452.36</v>
      </c>
      <c r="F509" s="6">
        <f>E509*0.22</f>
        <v/>
      </c>
      <c r="G509" s="6">
        <f>E509+F509</f>
        <v/>
      </c>
      <c r="H509" s="10" t="n">
        <v>7</v>
      </c>
      <c r="I509" s="7">
        <f>H509/(180*0.714)</f>
        <v/>
      </c>
    </row>
    <row r="510">
      <c r="A510" s="4" t="inlineStr">
        <is>
          <t>SERV-10506</t>
        </is>
      </c>
      <c r="B510" s="5" t="inlineStr">
        <is>
          <t>Professor da Educação Básica (40h)</t>
        </is>
      </c>
      <c r="C510" s="4" t="inlineStr">
        <is>
          <t>Efetivo Concursado</t>
        </is>
      </c>
      <c r="D510" s="4" t="inlineStr">
        <is>
          <t>SEC-EDU</t>
        </is>
      </c>
      <c r="E510" s="6" t="n">
        <v>4864.61</v>
      </c>
      <c r="F510" s="6">
        <f>E510*0.22</f>
        <v/>
      </c>
      <c r="G510" s="6">
        <f>E510+F510</f>
        <v/>
      </c>
      <c r="H510" s="10" t="n">
        <v>6</v>
      </c>
      <c r="I510" s="7">
        <f>H510/(180*0.714)</f>
        <v/>
      </c>
    </row>
    <row r="511">
      <c r="A511" s="4" t="inlineStr">
        <is>
          <t>SERV-10507</t>
        </is>
      </c>
      <c r="B511" s="5" t="inlineStr">
        <is>
          <t>Professor da Educação Básica (40h)</t>
        </is>
      </c>
      <c r="C511" s="4" t="inlineStr">
        <is>
          <t>Efetivo Concursado</t>
        </is>
      </c>
      <c r="D511" s="4" t="inlineStr">
        <is>
          <t>SEC-EDU</t>
        </is>
      </c>
      <c r="E511" s="6" t="n">
        <v>5102.49</v>
      </c>
      <c r="F511" s="6">
        <f>E511*0.22</f>
        <v/>
      </c>
      <c r="G511" s="6">
        <f>E511+F511</f>
        <v/>
      </c>
      <c r="H511" s="10" t="n">
        <v>7</v>
      </c>
      <c r="I511" s="7">
        <f>H511/(180*0.714)</f>
        <v/>
      </c>
    </row>
    <row r="512">
      <c r="A512" s="4" t="inlineStr">
        <is>
          <t>SERV-10508</t>
        </is>
      </c>
      <c r="B512" s="5" t="inlineStr">
        <is>
          <t>Professor da Educação Básica (40h)</t>
        </is>
      </c>
      <c r="C512" s="4" t="inlineStr">
        <is>
          <t>Efetivo Concursado</t>
        </is>
      </c>
      <c r="D512" s="4" t="inlineStr">
        <is>
          <t>SEC-EDU</t>
        </is>
      </c>
      <c r="E512" s="6" t="n">
        <v>5074.55</v>
      </c>
      <c r="F512" s="6">
        <f>E512*0.22</f>
        <v/>
      </c>
      <c r="G512" s="6">
        <f>E512+F512</f>
        <v/>
      </c>
      <c r="H512" s="10" t="n">
        <v>6</v>
      </c>
      <c r="I512" s="7">
        <f>H512/(180*0.714)</f>
        <v/>
      </c>
    </row>
    <row r="513">
      <c r="A513" s="4" t="inlineStr">
        <is>
          <t>SERV-10509</t>
        </is>
      </c>
      <c r="B513" s="5" t="inlineStr">
        <is>
          <t>Professor da Educação Básica (40h)</t>
        </is>
      </c>
      <c r="C513" s="4" t="inlineStr">
        <is>
          <t>Efetivo Concursado</t>
        </is>
      </c>
      <c r="D513" s="4" t="inlineStr">
        <is>
          <t>SEC-EDU</t>
        </is>
      </c>
      <c r="E513" s="6" t="n">
        <v>4841.09</v>
      </c>
      <c r="F513" s="6">
        <f>E513*0.22</f>
        <v/>
      </c>
      <c r="G513" s="6">
        <f>E513+F513</f>
        <v/>
      </c>
      <c r="H513" s="10" t="n">
        <v>6</v>
      </c>
      <c r="I513" s="7">
        <f>H513/(180*0.714)</f>
        <v/>
      </c>
    </row>
    <row r="514">
      <c r="A514" s="4" t="inlineStr">
        <is>
          <t>SERV-10510</t>
        </is>
      </c>
      <c r="B514" s="5" t="inlineStr">
        <is>
          <t>Professor da Educação Básica (40h)</t>
        </is>
      </c>
      <c r="C514" s="4" t="inlineStr">
        <is>
          <t>Efetivo Concursado</t>
        </is>
      </c>
      <c r="D514" s="4" t="inlineStr">
        <is>
          <t>SEC-EDU</t>
        </is>
      </c>
      <c r="E514" s="6" t="n">
        <v>5706.85</v>
      </c>
      <c r="F514" s="6">
        <f>E514*0.22</f>
        <v/>
      </c>
      <c r="G514" s="6">
        <f>E514+F514</f>
        <v/>
      </c>
      <c r="H514" s="10" t="n">
        <v>7</v>
      </c>
      <c r="I514" s="7">
        <f>H514/(180*0.714)</f>
        <v/>
      </c>
    </row>
    <row r="515">
      <c r="A515" s="4" t="inlineStr">
        <is>
          <t>SERV-10511</t>
        </is>
      </c>
      <c r="B515" s="5" t="inlineStr">
        <is>
          <t>Professor da Educação Básica (40h)</t>
        </is>
      </c>
      <c r="C515" s="4" t="inlineStr">
        <is>
          <t>Efetivo Concursado</t>
        </is>
      </c>
      <c r="D515" s="4" t="inlineStr">
        <is>
          <t>SEC-EDU</t>
        </is>
      </c>
      <c r="E515" s="6" t="n">
        <v>5453.28</v>
      </c>
      <c r="F515" s="6">
        <f>E515*0.22</f>
        <v/>
      </c>
      <c r="G515" s="6">
        <f>E515+F515</f>
        <v/>
      </c>
      <c r="H515" s="10" t="n">
        <v>2</v>
      </c>
      <c r="I515" s="7">
        <f>H515/(180*0.714)</f>
        <v/>
      </c>
    </row>
    <row r="516">
      <c r="A516" s="4" t="inlineStr">
        <is>
          <t>SERV-10512</t>
        </is>
      </c>
      <c r="B516" s="5" t="inlineStr">
        <is>
          <t>Professor da Educação Básica (40h)</t>
        </is>
      </c>
      <c r="C516" s="4" t="inlineStr">
        <is>
          <t>Efetivo Concursado</t>
        </is>
      </c>
      <c r="D516" s="4" t="inlineStr">
        <is>
          <t>SEC-EDU</t>
        </is>
      </c>
      <c r="E516" s="6" t="n">
        <v>5275.43</v>
      </c>
      <c r="F516" s="6">
        <f>E516*0.22</f>
        <v/>
      </c>
      <c r="G516" s="6">
        <f>E516+F516</f>
        <v/>
      </c>
      <c r="H516" s="10" t="n">
        <v>5</v>
      </c>
      <c r="I516" s="7">
        <f>H516/(180*0.714)</f>
        <v/>
      </c>
    </row>
    <row r="517">
      <c r="A517" s="4" t="inlineStr">
        <is>
          <t>SERV-10513</t>
        </is>
      </c>
      <c r="B517" s="5" t="inlineStr">
        <is>
          <t>Professor da Educação Básica (40h)</t>
        </is>
      </c>
      <c r="C517" s="4" t="inlineStr">
        <is>
          <t>Efetivo Concursado</t>
        </is>
      </c>
      <c r="D517" s="4" t="inlineStr">
        <is>
          <t>SEC-EDU</t>
        </is>
      </c>
      <c r="E517" s="6" t="n">
        <v>5175.54</v>
      </c>
      <c r="F517" s="6">
        <f>E517*0.22</f>
        <v/>
      </c>
      <c r="G517" s="6">
        <f>E517+F517</f>
        <v/>
      </c>
      <c r="H517" s="10" t="n">
        <v>4</v>
      </c>
      <c r="I517" s="7">
        <f>H517/(180*0.714)</f>
        <v/>
      </c>
    </row>
    <row r="518">
      <c r="A518" s="4" t="inlineStr">
        <is>
          <t>SERV-10514</t>
        </is>
      </c>
      <c r="B518" s="5" t="inlineStr">
        <is>
          <t>Professor da Educação Básica (40h)</t>
        </is>
      </c>
      <c r="C518" s="4" t="inlineStr">
        <is>
          <t>Efetivo Concursado</t>
        </is>
      </c>
      <c r="D518" s="4" t="inlineStr">
        <is>
          <t>SEC-EDU</t>
        </is>
      </c>
      <c r="E518" s="6" t="n">
        <v>5095.89</v>
      </c>
      <c r="F518" s="6">
        <f>E518*0.22</f>
        <v/>
      </c>
      <c r="G518" s="6">
        <f>E518+F518</f>
        <v/>
      </c>
      <c r="H518" s="10" t="n">
        <v>6</v>
      </c>
      <c r="I518" s="7">
        <f>H518/(180*0.714)</f>
        <v/>
      </c>
    </row>
    <row r="519">
      <c r="A519" s="4" t="inlineStr">
        <is>
          <t>SERV-10515</t>
        </is>
      </c>
      <c r="B519" s="5" t="inlineStr">
        <is>
          <t>Professor da Educação Básica (40h)</t>
        </is>
      </c>
      <c r="C519" s="4" t="inlineStr">
        <is>
          <t>Efetivo Concursado</t>
        </is>
      </c>
      <c r="D519" s="4" t="inlineStr">
        <is>
          <t>SEC-EDU</t>
        </is>
      </c>
      <c r="E519" s="6" t="n">
        <v>5009.79</v>
      </c>
      <c r="F519" s="6">
        <f>E519*0.22</f>
        <v/>
      </c>
      <c r="G519" s="6">
        <f>E519+F519</f>
        <v/>
      </c>
      <c r="H519" s="10" t="n">
        <v>4</v>
      </c>
      <c r="I519" s="7">
        <f>H519/(180*0.714)</f>
        <v/>
      </c>
    </row>
    <row r="520">
      <c r="A520" s="4" t="inlineStr">
        <is>
          <t>SERV-10516</t>
        </is>
      </c>
      <c r="B520" s="5" t="inlineStr">
        <is>
          <t>Professor da Educação Básica (40h)</t>
        </is>
      </c>
      <c r="C520" s="4" t="inlineStr">
        <is>
          <t>Efetivo Concursado</t>
        </is>
      </c>
      <c r="D520" s="4" t="inlineStr">
        <is>
          <t>SEC-EDU</t>
        </is>
      </c>
      <c r="E520" s="6" t="n">
        <v>5234.18</v>
      </c>
      <c r="F520" s="6">
        <f>E520*0.22</f>
        <v/>
      </c>
      <c r="G520" s="6">
        <f>E520+F520</f>
        <v/>
      </c>
      <c r="H520" s="10" t="n">
        <v>4</v>
      </c>
      <c r="I520" s="7">
        <f>H520/(180*0.714)</f>
        <v/>
      </c>
    </row>
    <row r="521">
      <c r="A521" s="4" t="inlineStr">
        <is>
          <t>SERV-10517</t>
        </is>
      </c>
      <c r="B521" s="5" t="inlineStr">
        <is>
          <t>Professor da Educação Básica (40h)</t>
        </is>
      </c>
      <c r="C521" s="4" t="inlineStr">
        <is>
          <t>Efetivo Concursado</t>
        </is>
      </c>
      <c r="D521" s="4" t="inlineStr">
        <is>
          <t>SEC-EDU</t>
        </is>
      </c>
      <c r="E521" s="6" t="n">
        <v>4838.55</v>
      </c>
      <c r="F521" s="6">
        <f>E521*0.22</f>
        <v/>
      </c>
      <c r="G521" s="6">
        <f>E521+F521</f>
        <v/>
      </c>
      <c r="H521" s="10" t="n">
        <v>3</v>
      </c>
      <c r="I521" s="7">
        <f>H521/(180*0.714)</f>
        <v/>
      </c>
    </row>
    <row r="522">
      <c r="A522" s="4" t="inlineStr">
        <is>
          <t>SERV-10518</t>
        </is>
      </c>
      <c r="B522" s="5" t="inlineStr">
        <is>
          <t>Professor da Educação Básica (40h)</t>
        </is>
      </c>
      <c r="C522" s="4" t="inlineStr">
        <is>
          <t>Efetivo Concursado</t>
        </is>
      </c>
      <c r="D522" s="4" t="inlineStr">
        <is>
          <t>SEC-EDU</t>
        </is>
      </c>
      <c r="E522" s="6" t="n">
        <v>5721.1</v>
      </c>
      <c r="F522" s="6">
        <f>E522*0.22</f>
        <v/>
      </c>
      <c r="G522" s="6">
        <f>E522+F522</f>
        <v/>
      </c>
      <c r="H522" s="10" t="n">
        <v>5</v>
      </c>
      <c r="I522" s="7">
        <f>H522/(180*0.714)</f>
        <v/>
      </c>
    </row>
    <row r="523">
      <c r="A523" s="4" t="inlineStr">
        <is>
          <t>SERV-10519</t>
        </is>
      </c>
      <c r="B523" s="5" t="inlineStr">
        <is>
          <t>Professor da Educação Básica (40h)</t>
        </is>
      </c>
      <c r="C523" s="4" t="inlineStr">
        <is>
          <t>Efetivo Concursado</t>
        </is>
      </c>
      <c r="D523" s="4" t="inlineStr">
        <is>
          <t>SEC-EDU</t>
        </is>
      </c>
      <c r="E523" s="6" t="n">
        <v>5546.78</v>
      </c>
      <c r="F523" s="6">
        <f>E523*0.22</f>
        <v/>
      </c>
      <c r="G523" s="6">
        <f>E523+F523</f>
        <v/>
      </c>
      <c r="H523" s="10" t="n">
        <v>3</v>
      </c>
      <c r="I523" s="7">
        <f>H523/(180*0.714)</f>
        <v/>
      </c>
    </row>
    <row r="524">
      <c r="A524" s="4" t="inlineStr">
        <is>
          <t>SERV-10520</t>
        </is>
      </c>
      <c r="B524" s="5" t="inlineStr">
        <is>
          <t>Professor da Educação Básica (40h)</t>
        </is>
      </c>
      <c r="C524" s="4" t="inlineStr">
        <is>
          <t>Efetivo Concursado</t>
        </is>
      </c>
      <c r="D524" s="4" t="inlineStr">
        <is>
          <t>SEC-EDU</t>
        </is>
      </c>
      <c r="E524" s="6" t="n">
        <v>4821.19</v>
      </c>
      <c r="F524" s="6">
        <f>E524*0.22</f>
        <v/>
      </c>
      <c r="G524" s="6">
        <f>E524+F524</f>
        <v/>
      </c>
      <c r="H524" s="10" t="n">
        <v>7</v>
      </c>
      <c r="I524" s="7">
        <f>H524/(180*0.714)</f>
        <v/>
      </c>
    </row>
    <row r="525">
      <c r="A525" s="4" t="inlineStr">
        <is>
          <t>SERV-10521</t>
        </is>
      </c>
      <c r="B525" s="5" t="inlineStr">
        <is>
          <t>Professor da Educação Básica (40h)</t>
        </is>
      </c>
      <c r="C525" s="4" t="inlineStr">
        <is>
          <t>Efetivo Concursado</t>
        </is>
      </c>
      <c r="D525" s="4" t="inlineStr">
        <is>
          <t>SEC-EDU</t>
        </is>
      </c>
      <c r="E525" s="6" t="n">
        <v>5497.54</v>
      </c>
      <c r="F525" s="6">
        <f>E525*0.22</f>
        <v/>
      </c>
      <c r="G525" s="6">
        <f>E525+F525</f>
        <v/>
      </c>
      <c r="H525" s="10" t="n">
        <v>4</v>
      </c>
      <c r="I525" s="7">
        <f>H525/(180*0.714)</f>
        <v/>
      </c>
    </row>
    <row r="526">
      <c r="A526" s="4" t="inlineStr">
        <is>
          <t>SERV-10522</t>
        </is>
      </c>
      <c r="B526" s="5" t="inlineStr">
        <is>
          <t>Professor da Educação Básica (40h)</t>
        </is>
      </c>
      <c r="C526" s="4" t="inlineStr">
        <is>
          <t>Efetivo Concursado</t>
        </is>
      </c>
      <c r="D526" s="4" t="inlineStr">
        <is>
          <t>SEC-EDU</t>
        </is>
      </c>
      <c r="E526" s="6" t="n">
        <v>5116.8</v>
      </c>
      <c r="F526" s="6">
        <f>E526*0.22</f>
        <v/>
      </c>
      <c r="G526" s="6">
        <f>E526+F526</f>
        <v/>
      </c>
      <c r="H526" s="10" t="n">
        <v>2</v>
      </c>
      <c r="I526" s="7">
        <f>H526/(180*0.714)</f>
        <v/>
      </c>
    </row>
    <row r="527">
      <c r="A527" s="4" t="inlineStr">
        <is>
          <t>SERV-10523</t>
        </is>
      </c>
      <c r="B527" s="5" t="inlineStr">
        <is>
          <t>Professor da Educação Básica (40h)</t>
        </is>
      </c>
      <c r="C527" s="4" t="inlineStr">
        <is>
          <t>Efetivo Concursado</t>
        </is>
      </c>
      <c r="D527" s="4" t="inlineStr">
        <is>
          <t>SEC-EDU</t>
        </is>
      </c>
      <c r="E527" s="6" t="n">
        <v>4950.31</v>
      </c>
      <c r="F527" s="6">
        <f>E527*0.22</f>
        <v/>
      </c>
      <c r="G527" s="6">
        <f>E527+F527</f>
        <v/>
      </c>
      <c r="H527" s="10" t="n">
        <v>3</v>
      </c>
      <c r="I527" s="7">
        <f>H527/(180*0.714)</f>
        <v/>
      </c>
    </row>
    <row r="528">
      <c r="A528" s="4" t="inlineStr">
        <is>
          <t>SERV-10524</t>
        </is>
      </c>
      <c r="B528" s="5" t="inlineStr">
        <is>
          <t>Professor da Educação Básica (40h)</t>
        </is>
      </c>
      <c r="C528" s="4" t="inlineStr">
        <is>
          <t>Efetivo Concursado</t>
        </is>
      </c>
      <c r="D528" s="4" t="inlineStr">
        <is>
          <t>SEC-EDU</t>
        </is>
      </c>
      <c r="E528" s="6" t="n">
        <v>5355.96</v>
      </c>
      <c r="F528" s="6">
        <f>E528*0.22</f>
        <v/>
      </c>
      <c r="G528" s="6">
        <f>E528+F528</f>
        <v/>
      </c>
      <c r="H528" s="10" t="n">
        <v>2</v>
      </c>
      <c r="I528" s="7">
        <f>H528/(180*0.714)</f>
        <v/>
      </c>
    </row>
    <row r="529">
      <c r="A529" s="4" t="inlineStr">
        <is>
          <t>SERV-10525</t>
        </is>
      </c>
      <c r="B529" s="5" t="inlineStr">
        <is>
          <t>Professor da Educação Básica (40h)</t>
        </is>
      </c>
      <c r="C529" s="4" t="inlineStr">
        <is>
          <t>Efetivo Concursado</t>
        </is>
      </c>
      <c r="D529" s="4" t="inlineStr">
        <is>
          <t>SEC-EDU</t>
        </is>
      </c>
      <c r="E529" s="6" t="n">
        <v>5034.23</v>
      </c>
      <c r="F529" s="6">
        <f>E529*0.22</f>
        <v/>
      </c>
      <c r="G529" s="6">
        <f>E529+F529</f>
        <v/>
      </c>
      <c r="H529" s="10" t="n">
        <v>7</v>
      </c>
      <c r="I529" s="7">
        <f>H529/(180*0.714)</f>
        <v/>
      </c>
    </row>
    <row r="530">
      <c r="A530" s="4" t="inlineStr">
        <is>
          <t>SERV-10526</t>
        </is>
      </c>
      <c r="B530" s="5" t="inlineStr">
        <is>
          <t>Professor da Educação Básica (40h)</t>
        </is>
      </c>
      <c r="C530" s="4" t="inlineStr">
        <is>
          <t>Efetivo Concursado</t>
        </is>
      </c>
      <c r="D530" s="4" t="inlineStr">
        <is>
          <t>SEC-EDU</t>
        </is>
      </c>
      <c r="E530" s="6" t="n">
        <v>5057.55</v>
      </c>
      <c r="F530" s="6">
        <f>E530*0.22</f>
        <v/>
      </c>
      <c r="G530" s="6">
        <f>E530+F530</f>
        <v/>
      </c>
      <c r="H530" s="10" t="n">
        <v>2</v>
      </c>
      <c r="I530" s="7">
        <f>H530/(180*0.714)</f>
        <v/>
      </c>
    </row>
    <row r="531">
      <c r="A531" s="4" t="inlineStr">
        <is>
          <t>SERV-10527</t>
        </is>
      </c>
      <c r="B531" s="5" t="inlineStr">
        <is>
          <t>Professor da Educação Básica (40h)</t>
        </is>
      </c>
      <c r="C531" s="4" t="inlineStr">
        <is>
          <t>Efetivo Concursado</t>
        </is>
      </c>
      <c r="D531" s="4" t="inlineStr">
        <is>
          <t>SEC-EDU</t>
        </is>
      </c>
      <c r="E531" s="6" t="n">
        <v>5653.09</v>
      </c>
      <c r="F531" s="6">
        <f>E531*0.22</f>
        <v/>
      </c>
      <c r="G531" s="6">
        <f>E531+F531</f>
        <v/>
      </c>
      <c r="H531" s="10" t="n">
        <v>5</v>
      </c>
      <c r="I531" s="7">
        <f>H531/(180*0.714)</f>
        <v/>
      </c>
    </row>
    <row r="532">
      <c r="A532" s="4" t="inlineStr">
        <is>
          <t>SERV-10528</t>
        </is>
      </c>
      <c r="B532" s="5" t="inlineStr">
        <is>
          <t>Professor da Educação Básica (40h)</t>
        </is>
      </c>
      <c r="C532" s="4" t="inlineStr">
        <is>
          <t>Efetivo Concursado</t>
        </is>
      </c>
      <c r="D532" s="4" t="inlineStr">
        <is>
          <t>SEC-EDU</t>
        </is>
      </c>
      <c r="E532" s="6" t="n">
        <v>5071.29</v>
      </c>
      <c r="F532" s="6">
        <f>E532*0.22</f>
        <v/>
      </c>
      <c r="G532" s="6">
        <f>E532+F532</f>
        <v/>
      </c>
      <c r="H532" s="10" t="n">
        <v>5</v>
      </c>
      <c r="I532" s="7">
        <f>H532/(180*0.714)</f>
        <v/>
      </c>
    </row>
    <row r="533">
      <c r="A533" s="4" t="inlineStr">
        <is>
          <t>SERV-10529</t>
        </is>
      </c>
      <c r="B533" s="5" t="inlineStr">
        <is>
          <t>Professor da Educação Básica (40h)</t>
        </is>
      </c>
      <c r="C533" s="4" t="inlineStr">
        <is>
          <t>Efetivo Concursado</t>
        </is>
      </c>
      <c r="D533" s="4" t="inlineStr">
        <is>
          <t>SEC-EDU</t>
        </is>
      </c>
      <c r="E533" s="6" t="n">
        <v>5497.93</v>
      </c>
      <c r="F533" s="6">
        <f>E533*0.22</f>
        <v/>
      </c>
      <c r="G533" s="6">
        <f>E533+F533</f>
        <v/>
      </c>
      <c r="H533" s="10" t="n">
        <v>2</v>
      </c>
      <c r="I533" s="7">
        <f>H533/(180*0.714)</f>
        <v/>
      </c>
    </row>
    <row r="534">
      <c r="A534" s="4" t="inlineStr">
        <is>
          <t>SERV-10530</t>
        </is>
      </c>
      <c r="B534" s="5" t="inlineStr">
        <is>
          <t>Professor da Educação Básica (40h)</t>
        </is>
      </c>
      <c r="C534" s="4" t="inlineStr">
        <is>
          <t>Efetivo Concursado</t>
        </is>
      </c>
      <c r="D534" s="4" t="inlineStr">
        <is>
          <t>SEC-EDU</t>
        </is>
      </c>
      <c r="E534" s="6" t="n">
        <v>5519.73</v>
      </c>
      <c r="F534" s="6">
        <f>E534*0.22</f>
        <v/>
      </c>
      <c r="G534" s="6">
        <f>E534+F534</f>
        <v/>
      </c>
      <c r="H534" s="10" t="n">
        <v>5</v>
      </c>
      <c r="I534" s="7">
        <f>H534/(180*0.714)</f>
        <v/>
      </c>
    </row>
    <row r="535">
      <c r="A535" s="4" t="inlineStr">
        <is>
          <t>SERV-10531</t>
        </is>
      </c>
      <c r="B535" s="5" t="inlineStr">
        <is>
          <t>Professor da Educação Básica (40h)</t>
        </is>
      </c>
      <c r="C535" s="4" t="inlineStr">
        <is>
          <t>Efetivo Concursado</t>
        </is>
      </c>
      <c r="D535" s="4" t="inlineStr">
        <is>
          <t>SEC-EDU</t>
        </is>
      </c>
      <c r="E535" s="6" t="n">
        <v>5052.81</v>
      </c>
      <c r="F535" s="6">
        <f>E535*0.22</f>
        <v/>
      </c>
      <c r="G535" s="6">
        <f>E535+F535</f>
        <v/>
      </c>
      <c r="H535" s="10" t="n">
        <v>3</v>
      </c>
      <c r="I535" s="7">
        <f>H535/(180*0.714)</f>
        <v/>
      </c>
    </row>
    <row r="536">
      <c r="A536" s="4" t="inlineStr">
        <is>
          <t>SERV-10532</t>
        </is>
      </c>
      <c r="B536" s="5" t="inlineStr">
        <is>
          <t>Professor da Educação Básica (40h)</t>
        </is>
      </c>
      <c r="C536" s="4" t="inlineStr">
        <is>
          <t>Efetivo Concursado</t>
        </is>
      </c>
      <c r="D536" s="4" t="inlineStr">
        <is>
          <t>SEC-EDU</t>
        </is>
      </c>
      <c r="E536" s="6" t="n">
        <v>5289.18</v>
      </c>
      <c r="F536" s="6">
        <f>E536*0.22</f>
        <v/>
      </c>
      <c r="G536" s="6">
        <f>E536+F536</f>
        <v/>
      </c>
      <c r="H536" s="10" t="n">
        <v>7</v>
      </c>
      <c r="I536" s="7">
        <f>H536/(180*0.714)</f>
        <v/>
      </c>
    </row>
    <row r="537">
      <c r="A537" s="4" t="inlineStr">
        <is>
          <t>SERV-10533</t>
        </is>
      </c>
      <c r="B537" s="5" t="inlineStr">
        <is>
          <t>Professor da Educação Básica (40h)</t>
        </is>
      </c>
      <c r="C537" s="4" t="inlineStr">
        <is>
          <t>Efetivo Concursado</t>
        </is>
      </c>
      <c r="D537" s="4" t="inlineStr">
        <is>
          <t>SEC-EDU</t>
        </is>
      </c>
      <c r="E537" s="6" t="n">
        <v>5126.13</v>
      </c>
      <c r="F537" s="6">
        <f>E537*0.22</f>
        <v/>
      </c>
      <c r="G537" s="6">
        <f>E537+F537</f>
        <v/>
      </c>
      <c r="H537" s="10" t="n">
        <v>2</v>
      </c>
      <c r="I537" s="7">
        <f>H537/(180*0.714)</f>
        <v/>
      </c>
    </row>
    <row r="538">
      <c r="A538" s="4" t="inlineStr">
        <is>
          <t>SERV-10534</t>
        </is>
      </c>
      <c r="B538" s="5" t="inlineStr">
        <is>
          <t>Professor da Educação Básica (40h)</t>
        </is>
      </c>
      <c r="C538" s="4" t="inlineStr">
        <is>
          <t>Efetivo Concursado</t>
        </is>
      </c>
      <c r="D538" s="4" t="inlineStr">
        <is>
          <t>SEC-EDU</t>
        </is>
      </c>
      <c r="E538" s="6" t="n">
        <v>5778.55</v>
      </c>
      <c r="F538" s="6">
        <f>E538*0.22</f>
        <v/>
      </c>
      <c r="G538" s="6">
        <f>E538+F538</f>
        <v/>
      </c>
      <c r="H538" s="10" t="n">
        <v>6</v>
      </c>
      <c r="I538" s="7">
        <f>H538/(180*0.714)</f>
        <v/>
      </c>
    </row>
    <row r="539">
      <c r="A539" s="4" t="inlineStr">
        <is>
          <t>SERV-10535</t>
        </is>
      </c>
      <c r="B539" s="5" t="inlineStr">
        <is>
          <t>Professor da Educação Básica (40h)</t>
        </is>
      </c>
      <c r="C539" s="4" t="inlineStr">
        <is>
          <t>Efetivo Concursado</t>
        </is>
      </c>
      <c r="D539" s="4" t="inlineStr">
        <is>
          <t>SEC-EDU</t>
        </is>
      </c>
      <c r="E539" s="6" t="n">
        <v>5050.67</v>
      </c>
      <c r="F539" s="6">
        <f>E539*0.22</f>
        <v/>
      </c>
      <c r="G539" s="6">
        <f>E539+F539</f>
        <v/>
      </c>
      <c r="H539" s="10" t="n">
        <v>3</v>
      </c>
      <c r="I539" s="7">
        <f>H539/(180*0.714)</f>
        <v/>
      </c>
    </row>
    <row r="540">
      <c r="A540" s="4" t="inlineStr">
        <is>
          <t>SERV-10536</t>
        </is>
      </c>
      <c r="B540" s="5" t="inlineStr">
        <is>
          <t>Professor da Educação Básica (40h)</t>
        </is>
      </c>
      <c r="C540" s="4" t="inlineStr">
        <is>
          <t>Efetivo Concursado</t>
        </is>
      </c>
      <c r="D540" s="4" t="inlineStr">
        <is>
          <t>SEC-EDU</t>
        </is>
      </c>
      <c r="E540" s="6" t="n">
        <v>5279.29</v>
      </c>
      <c r="F540" s="6">
        <f>E540*0.22</f>
        <v/>
      </c>
      <c r="G540" s="6">
        <f>E540+F540</f>
        <v/>
      </c>
      <c r="H540" s="10" t="n">
        <v>7</v>
      </c>
      <c r="I540" s="7">
        <f>H540/(180*0.714)</f>
        <v/>
      </c>
    </row>
    <row r="541">
      <c r="A541" s="4" t="inlineStr">
        <is>
          <t>SERV-10537</t>
        </is>
      </c>
      <c r="B541" s="5" t="inlineStr">
        <is>
          <t>Professor da Educação Básica (40h)</t>
        </is>
      </c>
      <c r="C541" s="4" t="inlineStr">
        <is>
          <t>Efetivo Concursado</t>
        </is>
      </c>
      <c r="D541" s="4" t="inlineStr">
        <is>
          <t>SEC-EDU</t>
        </is>
      </c>
      <c r="E541" s="6" t="n">
        <v>4915.47</v>
      </c>
      <c r="F541" s="6">
        <f>E541*0.22</f>
        <v/>
      </c>
      <c r="G541" s="6">
        <f>E541+F541</f>
        <v/>
      </c>
      <c r="H541" s="10" t="n">
        <v>4</v>
      </c>
      <c r="I541" s="7">
        <f>H541/(180*0.714)</f>
        <v/>
      </c>
    </row>
    <row r="542">
      <c r="A542" s="4" t="inlineStr">
        <is>
          <t>SERV-10538</t>
        </is>
      </c>
      <c r="B542" s="5" t="inlineStr">
        <is>
          <t>Professor da Educação Básica (40h)</t>
        </is>
      </c>
      <c r="C542" s="4" t="inlineStr">
        <is>
          <t>Efetivo Concursado</t>
        </is>
      </c>
      <c r="D542" s="4" t="inlineStr">
        <is>
          <t>SEC-EDU</t>
        </is>
      </c>
      <c r="E542" s="6" t="n">
        <v>5551.56</v>
      </c>
      <c r="F542" s="6">
        <f>E542*0.22</f>
        <v/>
      </c>
      <c r="G542" s="6">
        <f>E542+F542</f>
        <v/>
      </c>
      <c r="H542" s="10" t="n">
        <v>3</v>
      </c>
      <c r="I542" s="7">
        <f>H542/(180*0.714)</f>
        <v/>
      </c>
    </row>
    <row r="543">
      <c r="A543" s="4" t="inlineStr">
        <is>
          <t>SERV-10539</t>
        </is>
      </c>
      <c r="B543" s="5" t="inlineStr">
        <is>
          <t>Professor da Educação Básica (40h)</t>
        </is>
      </c>
      <c r="C543" s="4" t="inlineStr">
        <is>
          <t>Efetivo Concursado</t>
        </is>
      </c>
      <c r="D543" s="4" t="inlineStr">
        <is>
          <t>SEC-EDU</t>
        </is>
      </c>
      <c r="E543" s="6" t="n">
        <v>5502.4</v>
      </c>
      <c r="F543" s="6">
        <f>E543*0.22</f>
        <v/>
      </c>
      <c r="G543" s="6">
        <f>E543+F543</f>
        <v/>
      </c>
      <c r="H543" s="10" t="n">
        <v>3</v>
      </c>
      <c r="I543" s="7">
        <f>H543/(180*0.714)</f>
        <v/>
      </c>
    </row>
    <row r="544">
      <c r="A544" s="4" t="inlineStr">
        <is>
          <t>SERV-10540</t>
        </is>
      </c>
      <c r="B544" s="5" t="inlineStr">
        <is>
          <t>Professor da Educação Básica (40h)</t>
        </is>
      </c>
      <c r="C544" s="4" t="inlineStr">
        <is>
          <t>Efetivo Concursado</t>
        </is>
      </c>
      <c r="D544" s="4" t="inlineStr">
        <is>
          <t>SEC-EDU</t>
        </is>
      </c>
      <c r="E544" s="6" t="n">
        <v>5410.97</v>
      </c>
      <c r="F544" s="6">
        <f>E544*0.22</f>
        <v/>
      </c>
      <c r="G544" s="6">
        <f>E544+F544</f>
        <v/>
      </c>
      <c r="H544" s="10" t="n">
        <v>2</v>
      </c>
      <c r="I544" s="7">
        <f>H544/(180*0.714)</f>
        <v/>
      </c>
    </row>
    <row r="545">
      <c r="A545" s="4" t="inlineStr">
        <is>
          <t>SERV-10541</t>
        </is>
      </c>
      <c r="B545" s="5" t="inlineStr">
        <is>
          <t>Professor da Educação Básica (40h)</t>
        </is>
      </c>
      <c r="C545" s="4" t="inlineStr">
        <is>
          <t>Efetivo Concursado</t>
        </is>
      </c>
      <c r="D545" s="4" t="inlineStr">
        <is>
          <t>SEC-EDU</t>
        </is>
      </c>
      <c r="E545" s="6" t="n">
        <v>5082.29</v>
      </c>
      <c r="F545" s="6">
        <f>E545*0.22</f>
        <v/>
      </c>
      <c r="G545" s="6">
        <f>E545+F545</f>
        <v/>
      </c>
      <c r="H545" s="10" t="n">
        <v>5</v>
      </c>
      <c r="I545" s="7">
        <f>H545/(180*0.714)</f>
        <v/>
      </c>
    </row>
    <row r="546">
      <c r="A546" s="4" t="inlineStr">
        <is>
          <t>SERV-10542</t>
        </is>
      </c>
      <c r="B546" s="5" t="inlineStr">
        <is>
          <t>Professor da Educação Básica (40h)</t>
        </is>
      </c>
      <c r="C546" s="4" t="inlineStr">
        <is>
          <t>Efetivo Concursado</t>
        </is>
      </c>
      <c r="D546" s="4" t="inlineStr">
        <is>
          <t>SEC-EDU</t>
        </is>
      </c>
      <c r="E546" s="6" t="n">
        <v>5317.5</v>
      </c>
      <c r="F546" s="6">
        <f>E546*0.22</f>
        <v/>
      </c>
      <c r="G546" s="6">
        <f>E546+F546</f>
        <v/>
      </c>
      <c r="H546" s="10" t="n">
        <v>4</v>
      </c>
      <c r="I546" s="7">
        <f>H546/(180*0.714)</f>
        <v/>
      </c>
    </row>
    <row r="547">
      <c r="A547" s="4" t="inlineStr">
        <is>
          <t>SERV-10543</t>
        </is>
      </c>
      <c r="B547" s="5" t="inlineStr">
        <is>
          <t>Professor da Educação Básica (40h)</t>
        </is>
      </c>
      <c r="C547" s="4" t="inlineStr">
        <is>
          <t>Efetivo Concursado</t>
        </is>
      </c>
      <c r="D547" s="4" t="inlineStr">
        <is>
          <t>SEC-EDU</t>
        </is>
      </c>
      <c r="E547" s="6" t="n">
        <v>5147.57</v>
      </c>
      <c r="F547" s="6">
        <f>E547*0.22</f>
        <v/>
      </c>
      <c r="G547" s="6">
        <f>E547+F547</f>
        <v/>
      </c>
      <c r="H547" s="10" t="n">
        <v>7</v>
      </c>
      <c r="I547" s="7">
        <f>H547/(180*0.714)</f>
        <v/>
      </c>
    </row>
    <row r="548">
      <c r="A548" s="4" t="inlineStr">
        <is>
          <t>SERV-10544</t>
        </is>
      </c>
      <c r="B548" s="5" t="inlineStr">
        <is>
          <t>Professor da Educação Básica (40h)</t>
        </is>
      </c>
      <c r="C548" s="4" t="inlineStr">
        <is>
          <t>Efetivo Concursado</t>
        </is>
      </c>
      <c r="D548" s="4" t="inlineStr">
        <is>
          <t>SEC-EDU</t>
        </is>
      </c>
      <c r="E548" s="6" t="n">
        <v>4817.5</v>
      </c>
      <c r="F548" s="6">
        <f>E548*0.22</f>
        <v/>
      </c>
      <c r="G548" s="6">
        <f>E548+F548</f>
        <v/>
      </c>
      <c r="H548" s="10" t="n">
        <v>2</v>
      </c>
      <c r="I548" s="7">
        <f>H548/(180*0.714)</f>
        <v/>
      </c>
    </row>
    <row r="549">
      <c r="A549" s="4" t="inlineStr">
        <is>
          <t>SERV-10545</t>
        </is>
      </c>
      <c r="B549" s="5" t="inlineStr">
        <is>
          <t>Professor da Educação Básica (40h)</t>
        </is>
      </c>
      <c r="C549" s="4" t="inlineStr">
        <is>
          <t>Efetivo Concursado</t>
        </is>
      </c>
      <c r="D549" s="4" t="inlineStr">
        <is>
          <t>SEC-EDU</t>
        </is>
      </c>
      <c r="E549" s="6" t="n">
        <v>5507.9</v>
      </c>
      <c r="F549" s="6">
        <f>E549*0.22</f>
        <v/>
      </c>
      <c r="G549" s="6">
        <f>E549+F549</f>
        <v/>
      </c>
      <c r="H549" s="10" t="n">
        <v>4</v>
      </c>
      <c r="I549" s="7">
        <f>H549/(180*0.714)</f>
        <v/>
      </c>
    </row>
    <row r="550">
      <c r="A550" s="4" t="inlineStr">
        <is>
          <t>SERV-10546</t>
        </is>
      </c>
      <c r="B550" s="5" t="inlineStr">
        <is>
          <t>Professor da Educação Básica (40h)</t>
        </is>
      </c>
      <c r="C550" s="4" t="inlineStr">
        <is>
          <t>Efetivo Concursado</t>
        </is>
      </c>
      <c r="D550" s="4" t="inlineStr">
        <is>
          <t>SEC-EDU</t>
        </is>
      </c>
      <c r="E550" s="6" t="n">
        <v>5200.4</v>
      </c>
      <c r="F550" s="6">
        <f>E550*0.22</f>
        <v/>
      </c>
      <c r="G550" s="6">
        <f>E550+F550</f>
        <v/>
      </c>
      <c r="H550" s="10" t="n">
        <v>4</v>
      </c>
      <c r="I550" s="7">
        <f>H550/(180*0.714)</f>
        <v/>
      </c>
    </row>
    <row r="551">
      <c r="A551" s="4" t="inlineStr">
        <is>
          <t>SERV-10547</t>
        </is>
      </c>
      <c r="B551" s="5" t="inlineStr">
        <is>
          <t>Professor da Educação Básica (40h)</t>
        </is>
      </c>
      <c r="C551" s="4" t="inlineStr">
        <is>
          <t>Efetivo Concursado</t>
        </is>
      </c>
      <c r="D551" s="4" t="inlineStr">
        <is>
          <t>SEC-EDU</t>
        </is>
      </c>
      <c r="E551" s="6" t="n">
        <v>5182.28</v>
      </c>
      <c r="F551" s="6">
        <f>E551*0.22</f>
        <v/>
      </c>
      <c r="G551" s="6">
        <f>E551+F551</f>
        <v/>
      </c>
      <c r="H551" s="10" t="n">
        <v>6</v>
      </c>
      <c r="I551" s="7">
        <f>H551/(180*0.714)</f>
        <v/>
      </c>
    </row>
    <row r="552">
      <c r="A552" s="4" t="inlineStr">
        <is>
          <t>SERV-10548</t>
        </is>
      </c>
      <c r="B552" s="5" t="inlineStr">
        <is>
          <t>Professor da Educação Básica (40h)</t>
        </is>
      </c>
      <c r="C552" s="4" t="inlineStr">
        <is>
          <t>Efetivo Concursado</t>
        </is>
      </c>
      <c r="D552" s="4" t="inlineStr">
        <is>
          <t>SEC-EDU</t>
        </is>
      </c>
      <c r="E552" s="6" t="n">
        <v>5406.48</v>
      </c>
      <c r="F552" s="6">
        <f>E552*0.22</f>
        <v/>
      </c>
      <c r="G552" s="6">
        <f>E552+F552</f>
        <v/>
      </c>
      <c r="H552" s="10" t="n">
        <v>2</v>
      </c>
      <c r="I552" s="7">
        <f>H552/(180*0.714)</f>
        <v/>
      </c>
    </row>
    <row r="553">
      <c r="A553" s="4" t="inlineStr">
        <is>
          <t>SERV-10549</t>
        </is>
      </c>
      <c r="B553" s="5" t="inlineStr">
        <is>
          <t>Professor da Educação Básica (40h)</t>
        </is>
      </c>
      <c r="C553" s="4" t="inlineStr">
        <is>
          <t>Efetivo Concursado</t>
        </is>
      </c>
      <c r="D553" s="4" t="inlineStr">
        <is>
          <t>SEC-EDU</t>
        </is>
      </c>
      <c r="E553" s="6" t="n">
        <v>5500.02</v>
      </c>
      <c r="F553" s="6">
        <f>E553*0.22</f>
        <v/>
      </c>
      <c r="G553" s="6">
        <f>E553+F553</f>
        <v/>
      </c>
      <c r="H553" s="10" t="n">
        <v>3</v>
      </c>
      <c r="I553" s="7">
        <f>H553/(180*0.714)</f>
        <v/>
      </c>
    </row>
    <row r="554">
      <c r="A554" s="4" t="inlineStr">
        <is>
          <t>SERV-10550</t>
        </is>
      </c>
      <c r="B554" s="5" t="inlineStr">
        <is>
          <t>Professor da Educação Básica (40h)</t>
        </is>
      </c>
      <c r="C554" s="4" t="inlineStr">
        <is>
          <t>Efetivo Concursado</t>
        </is>
      </c>
      <c r="D554" s="4" t="inlineStr">
        <is>
          <t>SEC-EDU</t>
        </is>
      </c>
      <c r="E554" s="6" t="n">
        <v>5796.89</v>
      </c>
      <c r="F554" s="6">
        <f>E554*0.22</f>
        <v/>
      </c>
      <c r="G554" s="6">
        <f>E554+F554</f>
        <v/>
      </c>
      <c r="H554" s="10" t="n">
        <v>5</v>
      </c>
      <c r="I554" s="7">
        <f>H554/(180*0.714)</f>
        <v/>
      </c>
    </row>
    <row r="555">
      <c r="A555" s="4" t="inlineStr">
        <is>
          <t>SERV-10551</t>
        </is>
      </c>
      <c r="B555" s="5" t="inlineStr">
        <is>
          <t>Professor da Educação Básica (40h)</t>
        </is>
      </c>
      <c r="C555" s="4" t="inlineStr">
        <is>
          <t>Efetivo Concursado</t>
        </is>
      </c>
      <c r="D555" s="4" t="inlineStr">
        <is>
          <t>SEC-EDU</t>
        </is>
      </c>
      <c r="E555" s="6" t="n">
        <v>4829.2</v>
      </c>
      <c r="F555" s="6">
        <f>E555*0.22</f>
        <v/>
      </c>
      <c r="G555" s="6">
        <f>E555+F555</f>
        <v/>
      </c>
      <c r="H555" s="10" t="n">
        <v>3</v>
      </c>
      <c r="I555" s="7">
        <f>H555/(180*0.714)</f>
        <v/>
      </c>
    </row>
    <row r="556">
      <c r="A556" s="4" t="inlineStr">
        <is>
          <t>SERV-10552</t>
        </is>
      </c>
      <c r="B556" s="5" t="inlineStr">
        <is>
          <t>Professor da Educação Básica (40h)</t>
        </is>
      </c>
      <c r="C556" s="4" t="inlineStr">
        <is>
          <t>Efetivo Concursado</t>
        </is>
      </c>
      <c r="D556" s="4" t="inlineStr">
        <is>
          <t>SEC-EDU</t>
        </is>
      </c>
      <c r="E556" s="6" t="n">
        <v>5698.19</v>
      </c>
      <c r="F556" s="6">
        <f>E556*0.22</f>
        <v/>
      </c>
      <c r="G556" s="6">
        <f>E556+F556</f>
        <v/>
      </c>
      <c r="H556" s="10" t="n">
        <v>5</v>
      </c>
      <c r="I556" s="7">
        <f>H556/(180*0.714)</f>
        <v/>
      </c>
    </row>
    <row r="557">
      <c r="A557" s="4" t="inlineStr">
        <is>
          <t>SERV-10553</t>
        </is>
      </c>
      <c r="B557" s="5" t="inlineStr">
        <is>
          <t>Professor da Educação Básica (40h)</t>
        </is>
      </c>
      <c r="C557" s="4" t="inlineStr">
        <is>
          <t>Efetivo Concursado</t>
        </is>
      </c>
      <c r="D557" s="4" t="inlineStr">
        <is>
          <t>SEC-EDU</t>
        </is>
      </c>
      <c r="E557" s="6" t="n">
        <v>5291.41</v>
      </c>
      <c r="F557" s="6">
        <f>E557*0.22</f>
        <v/>
      </c>
      <c r="G557" s="6">
        <f>E557+F557</f>
        <v/>
      </c>
      <c r="H557" s="10" t="n">
        <v>2</v>
      </c>
      <c r="I557" s="7">
        <f>H557/(180*0.714)</f>
        <v/>
      </c>
    </row>
    <row r="558">
      <c r="A558" s="4" t="inlineStr">
        <is>
          <t>SERV-10554</t>
        </is>
      </c>
      <c r="B558" s="5" t="inlineStr">
        <is>
          <t>Professor da Educação Básica (40h)</t>
        </is>
      </c>
      <c r="C558" s="4" t="inlineStr">
        <is>
          <t>Efetivo Concursado</t>
        </is>
      </c>
      <c r="D558" s="4" t="inlineStr">
        <is>
          <t>SEC-EDU</t>
        </is>
      </c>
      <c r="E558" s="6" t="n">
        <v>5035.76</v>
      </c>
      <c r="F558" s="6">
        <f>E558*0.22</f>
        <v/>
      </c>
      <c r="G558" s="6">
        <f>E558+F558</f>
        <v/>
      </c>
      <c r="H558" s="10" t="n">
        <v>5</v>
      </c>
      <c r="I558" s="7">
        <f>H558/(180*0.714)</f>
        <v/>
      </c>
    </row>
    <row r="559">
      <c r="A559" s="4" t="inlineStr">
        <is>
          <t>SERV-10555</t>
        </is>
      </c>
      <c r="B559" s="5" t="inlineStr">
        <is>
          <t>Professor da Educação Básica (40h)</t>
        </is>
      </c>
      <c r="C559" s="4" t="inlineStr">
        <is>
          <t>Efetivo Concursado</t>
        </is>
      </c>
      <c r="D559" s="4" t="inlineStr">
        <is>
          <t>SEC-EDU</t>
        </is>
      </c>
      <c r="E559" s="6" t="n">
        <v>5078.89</v>
      </c>
      <c r="F559" s="6">
        <f>E559*0.22</f>
        <v/>
      </c>
      <c r="G559" s="6">
        <f>E559+F559</f>
        <v/>
      </c>
      <c r="H559" s="10" t="n">
        <v>6</v>
      </c>
      <c r="I559" s="7">
        <f>H559/(180*0.714)</f>
        <v/>
      </c>
    </row>
    <row r="560">
      <c r="A560" s="4" t="inlineStr">
        <is>
          <t>SERV-10556</t>
        </is>
      </c>
      <c r="B560" s="5" t="inlineStr">
        <is>
          <t>Professor da Educação Básica (40h)</t>
        </is>
      </c>
      <c r="C560" s="4" t="inlineStr">
        <is>
          <t>Efetivo Concursado</t>
        </is>
      </c>
      <c r="D560" s="4" t="inlineStr">
        <is>
          <t>SEC-EDU</t>
        </is>
      </c>
      <c r="E560" s="6" t="n">
        <v>5172.62</v>
      </c>
      <c r="F560" s="6">
        <f>E560*0.22</f>
        <v/>
      </c>
      <c r="G560" s="6">
        <f>E560+F560</f>
        <v/>
      </c>
      <c r="H560" s="10" t="n">
        <v>6</v>
      </c>
      <c r="I560" s="7">
        <f>H560/(180*0.714)</f>
        <v/>
      </c>
    </row>
    <row r="561">
      <c r="A561" s="4" t="inlineStr">
        <is>
          <t>SERV-10557</t>
        </is>
      </c>
      <c r="B561" s="5" t="inlineStr">
        <is>
          <t>Professor da Educação Básica (40h)</t>
        </is>
      </c>
      <c r="C561" s="4" t="inlineStr">
        <is>
          <t>Efetivo Concursado</t>
        </is>
      </c>
      <c r="D561" s="4" t="inlineStr">
        <is>
          <t>SEC-EDU</t>
        </is>
      </c>
      <c r="E561" s="6" t="n">
        <v>5068.28</v>
      </c>
      <c r="F561" s="6">
        <f>E561*0.22</f>
        <v/>
      </c>
      <c r="G561" s="6">
        <f>E561+F561</f>
        <v/>
      </c>
      <c r="H561" s="10" t="n">
        <v>3</v>
      </c>
      <c r="I561" s="7">
        <f>H561/(180*0.714)</f>
        <v/>
      </c>
    </row>
    <row r="562">
      <c r="A562" s="4" t="inlineStr">
        <is>
          <t>SERV-10558</t>
        </is>
      </c>
      <c r="B562" s="5" t="inlineStr">
        <is>
          <t>Professor da Educação Básica (40h)</t>
        </is>
      </c>
      <c r="C562" s="4" t="inlineStr">
        <is>
          <t>Efetivo Concursado</t>
        </is>
      </c>
      <c r="D562" s="4" t="inlineStr">
        <is>
          <t>SEC-EDU</t>
        </is>
      </c>
      <c r="E562" s="6" t="n">
        <v>5474.14</v>
      </c>
      <c r="F562" s="6">
        <f>E562*0.22</f>
        <v/>
      </c>
      <c r="G562" s="6">
        <f>E562+F562</f>
        <v/>
      </c>
      <c r="H562" s="10" t="n">
        <v>7</v>
      </c>
      <c r="I562" s="7">
        <f>H562/(180*0.714)</f>
        <v/>
      </c>
    </row>
    <row r="563">
      <c r="A563" s="4" t="inlineStr">
        <is>
          <t>SERV-10559</t>
        </is>
      </c>
      <c r="B563" s="5" t="inlineStr">
        <is>
          <t>Professor da Educação Básica (40h)</t>
        </is>
      </c>
      <c r="C563" s="4" t="inlineStr">
        <is>
          <t>Efetivo Concursado</t>
        </is>
      </c>
      <c r="D563" s="4" t="inlineStr">
        <is>
          <t>SEC-EDU</t>
        </is>
      </c>
      <c r="E563" s="6" t="n">
        <v>4981.6</v>
      </c>
      <c r="F563" s="6">
        <f>E563*0.22</f>
        <v/>
      </c>
      <c r="G563" s="6">
        <f>E563+F563</f>
        <v/>
      </c>
      <c r="H563" s="10" t="n">
        <v>7</v>
      </c>
      <c r="I563" s="7">
        <f>H563/(180*0.714)</f>
        <v/>
      </c>
    </row>
    <row r="564">
      <c r="A564" s="4" t="inlineStr">
        <is>
          <t>SERV-10560</t>
        </is>
      </c>
      <c r="B564" s="5" t="inlineStr">
        <is>
          <t>Professor da Educação Básica (40h)</t>
        </is>
      </c>
      <c r="C564" s="4" t="inlineStr">
        <is>
          <t>Efetivo Concursado</t>
        </is>
      </c>
      <c r="D564" s="4" t="inlineStr">
        <is>
          <t>SEC-EDU</t>
        </is>
      </c>
      <c r="E564" s="6" t="n">
        <v>5814.92</v>
      </c>
      <c r="F564" s="6">
        <f>E564*0.22</f>
        <v/>
      </c>
      <c r="G564" s="6">
        <f>E564+F564</f>
        <v/>
      </c>
      <c r="H564" s="10" t="n">
        <v>7</v>
      </c>
      <c r="I564" s="7">
        <f>H564/(180*0.714)</f>
        <v/>
      </c>
    </row>
    <row r="565">
      <c r="A565" s="4" t="inlineStr">
        <is>
          <t>SERV-10561</t>
        </is>
      </c>
      <c r="B565" s="5" t="inlineStr">
        <is>
          <t>Professor da Educação Básica (40h)</t>
        </is>
      </c>
      <c r="C565" s="4" t="inlineStr">
        <is>
          <t>Efetivo Concursado</t>
        </is>
      </c>
      <c r="D565" s="4" t="inlineStr">
        <is>
          <t>SEC-EDU</t>
        </is>
      </c>
      <c r="E565" s="6" t="n">
        <v>4996.58</v>
      </c>
      <c r="F565" s="6">
        <f>E565*0.22</f>
        <v/>
      </c>
      <c r="G565" s="6">
        <f>E565+F565</f>
        <v/>
      </c>
      <c r="H565" s="10" t="n">
        <v>2</v>
      </c>
      <c r="I565" s="7">
        <f>H565/(180*0.714)</f>
        <v/>
      </c>
    </row>
    <row r="566">
      <c r="A566" s="4" t="inlineStr">
        <is>
          <t>SERV-10562</t>
        </is>
      </c>
      <c r="B566" s="5" t="inlineStr">
        <is>
          <t>Professor da Educação Básica (40h)</t>
        </is>
      </c>
      <c r="C566" s="4" t="inlineStr">
        <is>
          <t>Efetivo Concursado</t>
        </is>
      </c>
      <c r="D566" s="4" t="inlineStr">
        <is>
          <t>SEC-EDU</t>
        </is>
      </c>
      <c r="E566" s="6" t="n">
        <v>4969.57</v>
      </c>
      <c r="F566" s="6">
        <f>E566*0.22</f>
        <v/>
      </c>
      <c r="G566" s="6">
        <f>E566+F566</f>
        <v/>
      </c>
      <c r="H566" s="10" t="n">
        <v>7</v>
      </c>
      <c r="I566" s="7">
        <f>H566/(180*0.714)</f>
        <v/>
      </c>
    </row>
    <row r="567">
      <c r="A567" s="4" t="inlineStr">
        <is>
          <t>SERV-10563</t>
        </is>
      </c>
      <c r="B567" s="5" t="inlineStr">
        <is>
          <t>Professor da Educação Básica (40h)</t>
        </is>
      </c>
      <c r="C567" s="4" t="inlineStr">
        <is>
          <t>Efetivo Concursado</t>
        </is>
      </c>
      <c r="D567" s="4" t="inlineStr">
        <is>
          <t>SEC-EDU</t>
        </is>
      </c>
      <c r="E567" s="6" t="n">
        <v>5248.03</v>
      </c>
      <c r="F567" s="6">
        <f>E567*0.22</f>
        <v/>
      </c>
      <c r="G567" s="6">
        <f>E567+F567</f>
        <v/>
      </c>
      <c r="H567" s="10" t="n">
        <v>5</v>
      </c>
      <c r="I567" s="7">
        <f>H567/(180*0.714)</f>
        <v/>
      </c>
    </row>
    <row r="568">
      <c r="A568" s="4" t="inlineStr">
        <is>
          <t>SERV-10564</t>
        </is>
      </c>
      <c r="B568" s="5" t="inlineStr">
        <is>
          <t>Professor da Educação Básica (40h)</t>
        </is>
      </c>
      <c r="C568" s="4" t="inlineStr">
        <is>
          <t>Efetivo Concursado</t>
        </is>
      </c>
      <c r="D568" s="4" t="inlineStr">
        <is>
          <t>SEC-EDU</t>
        </is>
      </c>
      <c r="E568" s="6" t="n">
        <v>5179.11</v>
      </c>
      <c r="F568" s="6">
        <f>E568*0.22</f>
        <v/>
      </c>
      <c r="G568" s="6">
        <f>E568+F568</f>
        <v/>
      </c>
      <c r="H568" s="10" t="n">
        <v>7</v>
      </c>
      <c r="I568" s="7">
        <f>H568/(180*0.714)</f>
        <v/>
      </c>
    </row>
    <row r="569">
      <c r="A569" s="4" t="inlineStr">
        <is>
          <t>SERV-10565</t>
        </is>
      </c>
      <c r="B569" s="5" t="inlineStr">
        <is>
          <t>Professor da Educação Básica (40h)</t>
        </is>
      </c>
      <c r="C569" s="4" t="inlineStr">
        <is>
          <t>Efetivo Concursado</t>
        </is>
      </c>
      <c r="D569" s="4" t="inlineStr">
        <is>
          <t>SEC-EDU</t>
        </is>
      </c>
      <c r="E569" s="6" t="n">
        <v>5663.06</v>
      </c>
      <c r="F569" s="6">
        <f>E569*0.22</f>
        <v/>
      </c>
      <c r="G569" s="6">
        <f>E569+F569</f>
        <v/>
      </c>
      <c r="H569" s="10" t="n">
        <v>3</v>
      </c>
      <c r="I569" s="7">
        <f>H569/(180*0.714)</f>
        <v/>
      </c>
    </row>
    <row r="570">
      <c r="A570" s="4" t="inlineStr">
        <is>
          <t>SERV-10566</t>
        </is>
      </c>
      <c r="B570" s="5" t="inlineStr">
        <is>
          <t>Professor da Educação Básica (40h)</t>
        </is>
      </c>
      <c r="C570" s="4" t="inlineStr">
        <is>
          <t>Efetivo Concursado</t>
        </is>
      </c>
      <c r="D570" s="4" t="inlineStr">
        <is>
          <t>SEC-EDU</t>
        </is>
      </c>
      <c r="E570" s="6" t="n">
        <v>5277.58</v>
      </c>
      <c r="F570" s="6">
        <f>E570*0.22</f>
        <v/>
      </c>
      <c r="G570" s="6">
        <f>E570+F570</f>
        <v/>
      </c>
      <c r="H570" s="10" t="n">
        <v>7</v>
      </c>
      <c r="I570" s="7">
        <f>H570/(180*0.714)</f>
        <v/>
      </c>
    </row>
    <row r="571">
      <c r="A571" s="4" t="inlineStr">
        <is>
          <t>SERV-10567</t>
        </is>
      </c>
      <c r="B571" s="5" t="inlineStr">
        <is>
          <t>Professor da Educação Básica (40h)</t>
        </is>
      </c>
      <c r="C571" s="4" t="inlineStr">
        <is>
          <t>Efetivo Concursado</t>
        </is>
      </c>
      <c r="D571" s="4" t="inlineStr">
        <is>
          <t>SEC-EDU</t>
        </is>
      </c>
      <c r="E571" s="6" t="n">
        <v>5526.76</v>
      </c>
      <c r="F571" s="6">
        <f>E571*0.22</f>
        <v/>
      </c>
      <c r="G571" s="6">
        <f>E571+F571</f>
        <v/>
      </c>
      <c r="H571" s="10" t="n">
        <v>5</v>
      </c>
      <c r="I571" s="7">
        <f>H571/(180*0.714)</f>
        <v/>
      </c>
    </row>
    <row r="572">
      <c r="A572" s="4" t="inlineStr">
        <is>
          <t>SERV-10568</t>
        </is>
      </c>
      <c r="B572" s="5" t="inlineStr">
        <is>
          <t>Professor da Educação Básica (40h)</t>
        </is>
      </c>
      <c r="C572" s="4" t="inlineStr">
        <is>
          <t>Efetivo Concursado</t>
        </is>
      </c>
      <c r="D572" s="4" t="inlineStr">
        <is>
          <t>SEC-EDU</t>
        </is>
      </c>
      <c r="E572" s="6" t="n">
        <v>4815.82</v>
      </c>
      <c r="F572" s="6">
        <f>E572*0.22</f>
        <v/>
      </c>
      <c r="G572" s="6">
        <f>E572+F572</f>
        <v/>
      </c>
      <c r="H572" s="10" t="n">
        <v>3</v>
      </c>
      <c r="I572" s="7">
        <f>H572/(180*0.714)</f>
        <v/>
      </c>
    </row>
    <row r="573">
      <c r="A573" s="4" t="inlineStr">
        <is>
          <t>SERV-10569</t>
        </is>
      </c>
      <c r="B573" s="5" t="inlineStr">
        <is>
          <t>Professor da Educação Básica (40h)</t>
        </is>
      </c>
      <c r="C573" s="4" t="inlineStr">
        <is>
          <t>Efetivo Concursado</t>
        </is>
      </c>
      <c r="D573" s="4" t="inlineStr">
        <is>
          <t>SEC-EDU</t>
        </is>
      </c>
      <c r="E573" s="6" t="n">
        <v>4951.04</v>
      </c>
      <c r="F573" s="6">
        <f>E573*0.22</f>
        <v/>
      </c>
      <c r="G573" s="6">
        <f>E573+F573</f>
        <v/>
      </c>
      <c r="H573" s="10" t="n">
        <v>5</v>
      </c>
      <c r="I573" s="7">
        <f>H573/(180*0.714)</f>
        <v/>
      </c>
    </row>
    <row r="574">
      <c r="A574" s="4" t="inlineStr">
        <is>
          <t>SERV-10570</t>
        </is>
      </c>
      <c r="B574" s="5" t="inlineStr">
        <is>
          <t>Professor da Educação Básica (40h)</t>
        </is>
      </c>
      <c r="C574" s="4" t="inlineStr">
        <is>
          <t>Efetivo Concursado</t>
        </is>
      </c>
      <c r="D574" s="4" t="inlineStr">
        <is>
          <t>SEC-EDU</t>
        </is>
      </c>
      <c r="E574" s="6" t="n">
        <v>5310.88</v>
      </c>
      <c r="F574" s="6">
        <f>E574*0.22</f>
        <v/>
      </c>
      <c r="G574" s="6">
        <f>E574+F574</f>
        <v/>
      </c>
      <c r="H574" s="10" t="n">
        <v>4</v>
      </c>
      <c r="I574" s="7">
        <f>H574/(180*0.714)</f>
        <v/>
      </c>
    </row>
    <row r="575">
      <c r="A575" s="4" t="inlineStr">
        <is>
          <t>SERV-10571</t>
        </is>
      </c>
      <c r="B575" s="5" t="inlineStr">
        <is>
          <t>Professor da Educação Básica (40h)</t>
        </is>
      </c>
      <c r="C575" s="4" t="inlineStr">
        <is>
          <t>Efetivo Concursado</t>
        </is>
      </c>
      <c r="D575" s="4" t="inlineStr">
        <is>
          <t>SEC-EDU</t>
        </is>
      </c>
      <c r="E575" s="6" t="n">
        <v>5292.96</v>
      </c>
      <c r="F575" s="6">
        <f>E575*0.22</f>
        <v/>
      </c>
      <c r="G575" s="6">
        <f>E575+F575</f>
        <v/>
      </c>
      <c r="H575" s="10" t="n">
        <v>4</v>
      </c>
      <c r="I575" s="7">
        <f>H575/(180*0.714)</f>
        <v/>
      </c>
    </row>
    <row r="576">
      <c r="A576" s="4" t="inlineStr">
        <is>
          <t>SERV-10572</t>
        </is>
      </c>
      <c r="B576" s="5" t="inlineStr">
        <is>
          <t>Professor da Educação Básica (40h)</t>
        </is>
      </c>
      <c r="C576" s="4" t="inlineStr">
        <is>
          <t>Efetivo Concursado</t>
        </is>
      </c>
      <c r="D576" s="4" t="inlineStr">
        <is>
          <t>SEC-EDU</t>
        </is>
      </c>
      <c r="E576" s="6" t="n">
        <v>4843.79</v>
      </c>
      <c r="F576" s="6">
        <f>E576*0.22</f>
        <v/>
      </c>
      <c r="G576" s="6">
        <f>E576+F576</f>
        <v/>
      </c>
      <c r="H576" s="10" t="n">
        <v>4</v>
      </c>
      <c r="I576" s="7">
        <f>H576/(180*0.714)</f>
        <v/>
      </c>
    </row>
    <row r="577">
      <c r="A577" s="4" t="inlineStr">
        <is>
          <t>SERV-10573</t>
        </is>
      </c>
      <c r="B577" s="5" t="inlineStr">
        <is>
          <t>Professor da Educação Básica (40h)</t>
        </is>
      </c>
      <c r="C577" s="4" t="inlineStr">
        <is>
          <t>Efetivo Concursado</t>
        </is>
      </c>
      <c r="D577" s="4" t="inlineStr">
        <is>
          <t>SEC-EDU</t>
        </is>
      </c>
      <c r="E577" s="6" t="n">
        <v>5773.7</v>
      </c>
      <c r="F577" s="6">
        <f>E577*0.22</f>
        <v/>
      </c>
      <c r="G577" s="6">
        <f>E577+F577</f>
        <v/>
      </c>
      <c r="H577" s="10" t="n">
        <v>4</v>
      </c>
      <c r="I577" s="7">
        <f>H577/(180*0.714)</f>
        <v/>
      </c>
    </row>
    <row r="578">
      <c r="A578" s="4" t="inlineStr">
        <is>
          <t>SERV-10574</t>
        </is>
      </c>
      <c r="B578" s="5" t="inlineStr">
        <is>
          <t>Professor da Educação Básica (40h)</t>
        </is>
      </c>
      <c r="C578" s="4" t="inlineStr">
        <is>
          <t>Efetivo Concursado</t>
        </is>
      </c>
      <c r="D578" s="4" t="inlineStr">
        <is>
          <t>SEC-EDU</t>
        </is>
      </c>
      <c r="E578" s="6" t="n">
        <v>5379.92</v>
      </c>
      <c r="F578" s="6">
        <f>E578*0.22</f>
        <v/>
      </c>
      <c r="G578" s="6">
        <f>E578+F578</f>
        <v/>
      </c>
      <c r="H578" s="10" t="n">
        <v>7</v>
      </c>
      <c r="I578" s="7">
        <f>H578/(180*0.714)</f>
        <v/>
      </c>
    </row>
    <row r="579">
      <c r="A579" s="4" t="inlineStr">
        <is>
          <t>SERV-10575</t>
        </is>
      </c>
      <c r="B579" s="5" t="inlineStr">
        <is>
          <t>Professor da Educação Básica (40h)</t>
        </is>
      </c>
      <c r="C579" s="4" t="inlineStr">
        <is>
          <t>Efetivo Concursado</t>
        </is>
      </c>
      <c r="D579" s="4" t="inlineStr">
        <is>
          <t>SEC-EDU</t>
        </is>
      </c>
      <c r="E579" s="6" t="n">
        <v>5766.24</v>
      </c>
      <c r="F579" s="6">
        <f>E579*0.22</f>
        <v/>
      </c>
      <c r="G579" s="6">
        <f>E579+F579</f>
        <v/>
      </c>
      <c r="H579" s="10" t="n">
        <v>2</v>
      </c>
      <c r="I579" s="7">
        <f>H579/(180*0.714)</f>
        <v/>
      </c>
    </row>
    <row r="580">
      <c r="A580" s="4" t="inlineStr">
        <is>
          <t>SERV-10576</t>
        </is>
      </c>
      <c r="B580" s="5" t="inlineStr">
        <is>
          <t>Professor da Educação Básica (40h)</t>
        </is>
      </c>
      <c r="C580" s="4" t="inlineStr">
        <is>
          <t>Efetivo Concursado</t>
        </is>
      </c>
      <c r="D580" s="4" t="inlineStr">
        <is>
          <t>SEC-EDU</t>
        </is>
      </c>
      <c r="E580" s="6" t="n">
        <v>4785.24</v>
      </c>
      <c r="F580" s="6">
        <f>E580*0.22</f>
        <v/>
      </c>
      <c r="G580" s="6">
        <f>E580+F580</f>
        <v/>
      </c>
      <c r="H580" s="10" t="n">
        <v>4</v>
      </c>
      <c r="I580" s="7">
        <f>H580/(180*0.714)</f>
        <v/>
      </c>
    </row>
    <row r="581">
      <c r="A581" s="4" t="inlineStr">
        <is>
          <t>SERV-10577</t>
        </is>
      </c>
      <c r="B581" s="5" t="inlineStr">
        <is>
          <t>Professor da Educação Básica (40h)</t>
        </is>
      </c>
      <c r="C581" s="4" t="inlineStr">
        <is>
          <t>Efetivo Concursado</t>
        </is>
      </c>
      <c r="D581" s="4" t="inlineStr">
        <is>
          <t>SEC-EDU</t>
        </is>
      </c>
      <c r="E581" s="6" t="n">
        <v>5343.27</v>
      </c>
      <c r="F581" s="6">
        <f>E581*0.22</f>
        <v/>
      </c>
      <c r="G581" s="6">
        <f>E581+F581</f>
        <v/>
      </c>
      <c r="H581" s="10" t="n">
        <v>7</v>
      </c>
      <c r="I581" s="7">
        <f>H581/(180*0.714)</f>
        <v/>
      </c>
    </row>
    <row r="582">
      <c r="A582" s="4" t="inlineStr">
        <is>
          <t>SERV-10578</t>
        </is>
      </c>
      <c r="B582" s="5" t="inlineStr">
        <is>
          <t>Professor da Educação Básica (40h)</t>
        </is>
      </c>
      <c r="C582" s="4" t="inlineStr">
        <is>
          <t>Efetivo Concursado</t>
        </is>
      </c>
      <c r="D582" s="4" t="inlineStr">
        <is>
          <t>SEC-EDU</t>
        </is>
      </c>
      <c r="E582" s="6" t="n">
        <v>4797.87</v>
      </c>
      <c r="F582" s="6">
        <f>E582*0.22</f>
        <v/>
      </c>
      <c r="G582" s="6">
        <f>E582+F582</f>
        <v/>
      </c>
      <c r="H582" s="10" t="n">
        <v>7</v>
      </c>
      <c r="I582" s="7">
        <f>H582/(180*0.714)</f>
        <v/>
      </c>
    </row>
    <row r="583">
      <c r="A583" s="4" t="inlineStr">
        <is>
          <t>SERV-10579</t>
        </is>
      </c>
      <c r="B583" s="5" t="inlineStr">
        <is>
          <t>Professor da Educação Básica (40h)</t>
        </is>
      </c>
      <c r="C583" s="4" t="inlineStr">
        <is>
          <t>Efetivo Concursado</t>
        </is>
      </c>
      <c r="D583" s="4" t="inlineStr">
        <is>
          <t>SEC-EDU</t>
        </is>
      </c>
      <c r="E583" s="6" t="n">
        <v>5678.45</v>
      </c>
      <c r="F583" s="6">
        <f>E583*0.22</f>
        <v/>
      </c>
      <c r="G583" s="6">
        <f>E583+F583</f>
        <v/>
      </c>
      <c r="H583" s="10" t="n">
        <v>5</v>
      </c>
      <c r="I583" s="7">
        <f>H583/(180*0.714)</f>
        <v/>
      </c>
    </row>
    <row r="584">
      <c r="A584" s="4" t="inlineStr">
        <is>
          <t>SERV-10580</t>
        </is>
      </c>
      <c r="B584" s="5" t="inlineStr">
        <is>
          <t>Professor da Educação Básica (40h)</t>
        </is>
      </c>
      <c r="C584" s="4" t="inlineStr">
        <is>
          <t>Efetivo Concursado</t>
        </is>
      </c>
      <c r="D584" s="4" t="inlineStr">
        <is>
          <t>SEC-EDU</t>
        </is>
      </c>
      <c r="E584" s="6" t="n">
        <v>5449.29</v>
      </c>
      <c r="F584" s="6">
        <f>E584*0.22</f>
        <v/>
      </c>
      <c r="G584" s="6">
        <f>E584+F584</f>
        <v/>
      </c>
      <c r="H584" s="10" t="n">
        <v>6</v>
      </c>
      <c r="I584" s="7">
        <f>H584/(180*0.714)</f>
        <v/>
      </c>
    </row>
    <row r="585">
      <c r="A585" s="4" t="inlineStr">
        <is>
          <t>SERV-10581</t>
        </is>
      </c>
      <c r="B585" s="5" t="inlineStr">
        <is>
          <t>Professor da Educação Básica (40h)</t>
        </is>
      </c>
      <c r="C585" s="4" t="inlineStr">
        <is>
          <t>Efetivo Concursado</t>
        </is>
      </c>
      <c r="D585" s="4" t="inlineStr">
        <is>
          <t>SEC-EDU</t>
        </is>
      </c>
      <c r="E585" s="6" t="n">
        <v>5235.88</v>
      </c>
      <c r="F585" s="6">
        <f>E585*0.22</f>
        <v/>
      </c>
      <c r="G585" s="6">
        <f>E585+F585</f>
        <v/>
      </c>
      <c r="H585" s="10" t="n">
        <v>2</v>
      </c>
      <c r="I585" s="7">
        <f>H585/(180*0.714)</f>
        <v/>
      </c>
    </row>
    <row r="586">
      <c r="A586" s="4" t="inlineStr">
        <is>
          <t>SERV-10582</t>
        </is>
      </c>
      <c r="B586" s="5" t="inlineStr">
        <is>
          <t>Professor da Educação Básica (40h)</t>
        </is>
      </c>
      <c r="C586" s="4" t="inlineStr">
        <is>
          <t>Efetivo Concursado</t>
        </is>
      </c>
      <c r="D586" s="4" t="inlineStr">
        <is>
          <t>SEC-EDU</t>
        </is>
      </c>
      <c r="E586" s="6" t="n">
        <v>5566.13</v>
      </c>
      <c r="F586" s="6">
        <f>E586*0.22</f>
        <v/>
      </c>
      <c r="G586" s="6">
        <f>E586+F586</f>
        <v/>
      </c>
      <c r="H586" s="10" t="n">
        <v>3</v>
      </c>
      <c r="I586" s="7">
        <f>H586/(180*0.714)</f>
        <v/>
      </c>
    </row>
    <row r="587">
      <c r="A587" s="4" t="inlineStr">
        <is>
          <t>SERV-10583</t>
        </is>
      </c>
      <c r="B587" s="5" t="inlineStr">
        <is>
          <t>Professor da Educação Básica (40h)</t>
        </is>
      </c>
      <c r="C587" s="4" t="inlineStr">
        <is>
          <t>Efetivo Concursado</t>
        </is>
      </c>
      <c r="D587" s="4" t="inlineStr">
        <is>
          <t>SEC-EDU</t>
        </is>
      </c>
      <c r="E587" s="6" t="n">
        <v>5005.26</v>
      </c>
      <c r="F587" s="6">
        <f>E587*0.22</f>
        <v/>
      </c>
      <c r="G587" s="6">
        <f>E587+F587</f>
        <v/>
      </c>
      <c r="H587" s="10" t="n">
        <v>7</v>
      </c>
      <c r="I587" s="7">
        <f>H587/(180*0.714)</f>
        <v/>
      </c>
    </row>
    <row r="588">
      <c r="A588" s="4" t="inlineStr">
        <is>
          <t>SERV-10584</t>
        </is>
      </c>
      <c r="B588" s="5" t="inlineStr">
        <is>
          <t>Professor da Educação Básica (40h)</t>
        </is>
      </c>
      <c r="C588" s="4" t="inlineStr">
        <is>
          <t>Efetivo Concursado</t>
        </is>
      </c>
      <c r="D588" s="4" t="inlineStr">
        <is>
          <t>SEC-EDU</t>
        </is>
      </c>
      <c r="E588" s="6" t="n">
        <v>5816.94</v>
      </c>
      <c r="F588" s="6">
        <f>E588*0.22</f>
        <v/>
      </c>
      <c r="G588" s="6">
        <f>E588+F588</f>
        <v/>
      </c>
      <c r="H588" s="10" t="n">
        <v>3</v>
      </c>
      <c r="I588" s="7">
        <f>H588/(180*0.714)</f>
        <v/>
      </c>
    </row>
    <row r="589">
      <c r="A589" s="4" t="inlineStr">
        <is>
          <t>SERV-10585</t>
        </is>
      </c>
      <c r="B589" s="5" t="inlineStr">
        <is>
          <t>Professor da Educação Básica (40h)</t>
        </is>
      </c>
      <c r="C589" s="4" t="inlineStr">
        <is>
          <t>Efetivo Concursado</t>
        </is>
      </c>
      <c r="D589" s="4" t="inlineStr">
        <is>
          <t>SEC-EDU</t>
        </is>
      </c>
      <c r="E589" s="6" t="n">
        <v>5539.65</v>
      </c>
      <c r="F589" s="6">
        <f>E589*0.22</f>
        <v/>
      </c>
      <c r="G589" s="6">
        <f>E589+F589</f>
        <v/>
      </c>
      <c r="H589" s="10" t="n">
        <v>2</v>
      </c>
      <c r="I589" s="7">
        <f>H589/(180*0.714)</f>
        <v/>
      </c>
    </row>
    <row r="590">
      <c r="A590" s="4" t="inlineStr">
        <is>
          <t>SERV-10586</t>
        </is>
      </c>
      <c r="B590" s="5" t="inlineStr">
        <is>
          <t>Professor da Educação Básica (40h)</t>
        </is>
      </c>
      <c r="C590" s="4" t="inlineStr">
        <is>
          <t>Efetivo Concursado</t>
        </is>
      </c>
      <c r="D590" s="4" t="inlineStr">
        <is>
          <t>SEC-EDU</t>
        </is>
      </c>
      <c r="E590" s="6" t="n">
        <v>5216.96</v>
      </c>
      <c r="F590" s="6">
        <f>E590*0.22</f>
        <v/>
      </c>
      <c r="G590" s="6">
        <f>E590+F590</f>
        <v/>
      </c>
      <c r="H590" s="10" t="n">
        <v>2</v>
      </c>
      <c r="I590" s="7">
        <f>H590/(180*0.714)</f>
        <v/>
      </c>
    </row>
    <row r="591">
      <c r="A591" s="4" t="inlineStr">
        <is>
          <t>SERV-10587</t>
        </is>
      </c>
      <c r="B591" s="5" t="inlineStr">
        <is>
          <t>Professor da Educação Básica (40h)</t>
        </is>
      </c>
      <c r="C591" s="4" t="inlineStr">
        <is>
          <t>Efetivo Concursado</t>
        </is>
      </c>
      <c r="D591" s="4" t="inlineStr">
        <is>
          <t>SEC-EDU</t>
        </is>
      </c>
      <c r="E591" s="6" t="n">
        <v>5802.63</v>
      </c>
      <c r="F591" s="6">
        <f>E591*0.22</f>
        <v/>
      </c>
      <c r="G591" s="6">
        <f>E591+F591</f>
        <v/>
      </c>
      <c r="H591" s="10" t="n">
        <v>3</v>
      </c>
      <c r="I591" s="7">
        <f>H591/(180*0.714)</f>
        <v/>
      </c>
    </row>
    <row r="592">
      <c r="A592" s="4" t="inlineStr">
        <is>
          <t>SERV-10588</t>
        </is>
      </c>
      <c r="B592" s="5" t="inlineStr">
        <is>
          <t>Professor da Educação Básica (40h)</t>
        </is>
      </c>
      <c r="C592" s="4" t="inlineStr">
        <is>
          <t>Efetivo Concursado</t>
        </is>
      </c>
      <c r="D592" s="4" t="inlineStr">
        <is>
          <t>SEC-EDU</t>
        </is>
      </c>
      <c r="E592" s="6" t="n">
        <v>5115.17</v>
      </c>
      <c r="F592" s="6">
        <f>E592*0.22</f>
        <v/>
      </c>
      <c r="G592" s="6">
        <f>E592+F592</f>
        <v/>
      </c>
      <c r="H592" s="10" t="n">
        <v>2</v>
      </c>
      <c r="I592" s="7">
        <f>H592/(180*0.714)</f>
        <v/>
      </c>
    </row>
    <row r="593">
      <c r="A593" s="4" t="inlineStr">
        <is>
          <t>SERV-10589</t>
        </is>
      </c>
      <c r="B593" s="5" t="inlineStr">
        <is>
          <t>Professor da Educação Básica (40h)</t>
        </is>
      </c>
      <c r="C593" s="4" t="inlineStr">
        <is>
          <t>Efetivo Concursado</t>
        </is>
      </c>
      <c r="D593" s="4" t="inlineStr">
        <is>
          <t>SEC-EDU</t>
        </is>
      </c>
      <c r="E593" s="6" t="n">
        <v>5177.06</v>
      </c>
      <c r="F593" s="6">
        <f>E593*0.22</f>
        <v/>
      </c>
      <c r="G593" s="6">
        <f>E593+F593</f>
        <v/>
      </c>
      <c r="H593" s="10" t="n">
        <v>3</v>
      </c>
      <c r="I593" s="7">
        <f>H593/(180*0.714)</f>
        <v/>
      </c>
    </row>
    <row r="594">
      <c r="A594" s="4" t="inlineStr">
        <is>
          <t>SERV-10590</t>
        </is>
      </c>
      <c r="B594" s="5" t="inlineStr">
        <is>
          <t>Professor da Educação Básica (40h)</t>
        </is>
      </c>
      <c r="C594" s="4" t="inlineStr">
        <is>
          <t>Efetivo Concursado</t>
        </is>
      </c>
      <c r="D594" s="4" t="inlineStr">
        <is>
          <t>SEC-EDU</t>
        </is>
      </c>
      <c r="E594" s="6" t="n">
        <v>4833.66</v>
      </c>
      <c r="F594" s="6">
        <f>E594*0.22</f>
        <v/>
      </c>
      <c r="G594" s="6">
        <f>E594+F594</f>
        <v/>
      </c>
      <c r="H594" s="10" t="n">
        <v>6</v>
      </c>
      <c r="I594" s="7">
        <f>H594/(180*0.714)</f>
        <v/>
      </c>
    </row>
    <row r="595">
      <c r="A595" s="4" t="inlineStr">
        <is>
          <t>SERV-10591</t>
        </is>
      </c>
      <c r="B595" s="5" t="inlineStr">
        <is>
          <t>Professor da Educação Básica (40h)</t>
        </is>
      </c>
      <c r="C595" s="4" t="inlineStr">
        <is>
          <t>Efetivo Concursado</t>
        </is>
      </c>
      <c r="D595" s="4" t="inlineStr">
        <is>
          <t>SEC-EDU</t>
        </is>
      </c>
      <c r="E595" s="6" t="n">
        <v>5182.82</v>
      </c>
      <c r="F595" s="6">
        <f>E595*0.22</f>
        <v/>
      </c>
      <c r="G595" s="6">
        <f>E595+F595</f>
        <v/>
      </c>
      <c r="H595" s="10" t="n">
        <v>5</v>
      </c>
      <c r="I595" s="7">
        <f>H595/(180*0.714)</f>
        <v/>
      </c>
    </row>
    <row r="596">
      <c r="A596" s="4" t="inlineStr">
        <is>
          <t>SERV-10592</t>
        </is>
      </c>
      <c r="B596" s="5" t="inlineStr">
        <is>
          <t>Professor da Educação Básica (40h)</t>
        </is>
      </c>
      <c r="C596" s="4" t="inlineStr">
        <is>
          <t>Efetivo Concursado</t>
        </is>
      </c>
      <c r="D596" s="4" t="inlineStr">
        <is>
          <t>SEC-EDU</t>
        </is>
      </c>
      <c r="E596" s="6" t="n">
        <v>5668.84</v>
      </c>
      <c r="F596" s="6">
        <f>E596*0.22</f>
        <v/>
      </c>
      <c r="G596" s="6">
        <f>E596+F596</f>
        <v/>
      </c>
      <c r="H596" s="10" t="n">
        <v>7</v>
      </c>
      <c r="I596" s="7">
        <f>H596/(180*0.714)</f>
        <v/>
      </c>
    </row>
    <row r="597">
      <c r="A597" s="4" t="inlineStr">
        <is>
          <t>SERV-10593</t>
        </is>
      </c>
      <c r="B597" s="5" t="inlineStr">
        <is>
          <t>Professor da Educação Básica (40h)</t>
        </is>
      </c>
      <c r="C597" s="4" t="inlineStr">
        <is>
          <t>Efetivo Concursado</t>
        </is>
      </c>
      <c r="D597" s="4" t="inlineStr">
        <is>
          <t>SEC-EDU</t>
        </is>
      </c>
      <c r="E597" s="6" t="n">
        <v>4919.47</v>
      </c>
      <c r="F597" s="6">
        <f>E597*0.22</f>
        <v/>
      </c>
      <c r="G597" s="6">
        <f>E597+F597</f>
        <v/>
      </c>
      <c r="H597" s="10" t="n">
        <v>6</v>
      </c>
      <c r="I597" s="7">
        <f>H597/(180*0.714)</f>
        <v/>
      </c>
    </row>
    <row r="598">
      <c r="A598" s="4" t="inlineStr">
        <is>
          <t>SERV-10594</t>
        </is>
      </c>
      <c r="B598" s="5" t="inlineStr">
        <is>
          <t>Professor da Educação Básica (40h)</t>
        </is>
      </c>
      <c r="C598" s="4" t="inlineStr">
        <is>
          <t>Efetivo Concursado</t>
        </is>
      </c>
      <c r="D598" s="4" t="inlineStr">
        <is>
          <t>SEC-EDU</t>
        </is>
      </c>
      <c r="E598" s="6" t="n">
        <v>5321.31</v>
      </c>
      <c r="F598" s="6">
        <f>E598*0.22</f>
        <v/>
      </c>
      <c r="G598" s="6">
        <f>E598+F598</f>
        <v/>
      </c>
      <c r="H598" s="10" t="n">
        <v>3</v>
      </c>
      <c r="I598" s="7">
        <f>H598/(180*0.714)</f>
        <v/>
      </c>
    </row>
    <row r="599">
      <c r="A599" s="4" t="inlineStr">
        <is>
          <t>SERV-10595</t>
        </is>
      </c>
      <c r="B599" s="5" t="inlineStr">
        <is>
          <t>Professor da Educação Básica (40h)</t>
        </is>
      </c>
      <c r="C599" s="4" t="inlineStr">
        <is>
          <t>Efetivo Concursado</t>
        </is>
      </c>
      <c r="D599" s="4" t="inlineStr">
        <is>
          <t>SEC-EDU</t>
        </is>
      </c>
      <c r="E599" s="6" t="n">
        <v>5774.79</v>
      </c>
      <c r="F599" s="6">
        <f>E599*0.22</f>
        <v/>
      </c>
      <c r="G599" s="6">
        <f>E599+F599</f>
        <v/>
      </c>
      <c r="H599" s="10" t="n">
        <v>3</v>
      </c>
      <c r="I599" s="7">
        <f>H599/(180*0.714)</f>
        <v/>
      </c>
    </row>
    <row r="600">
      <c r="A600" s="4" t="inlineStr">
        <is>
          <t>SERV-10596</t>
        </is>
      </c>
      <c r="B600" s="5" t="inlineStr">
        <is>
          <t>Professor da Educação Básica (40h)</t>
        </is>
      </c>
      <c r="C600" s="4" t="inlineStr">
        <is>
          <t>Efetivo Concursado</t>
        </is>
      </c>
      <c r="D600" s="4" t="inlineStr">
        <is>
          <t>SEC-EDU</t>
        </is>
      </c>
      <c r="E600" s="6" t="n">
        <v>4992.19</v>
      </c>
      <c r="F600" s="6">
        <f>E600*0.22</f>
        <v/>
      </c>
      <c r="G600" s="6">
        <f>E600+F600</f>
        <v/>
      </c>
      <c r="H600" s="10" t="n">
        <v>3</v>
      </c>
      <c r="I600" s="7">
        <f>H600/(180*0.714)</f>
        <v/>
      </c>
    </row>
    <row r="601">
      <c r="A601" s="4" t="inlineStr">
        <is>
          <t>SERV-10597</t>
        </is>
      </c>
      <c r="B601" s="5" t="inlineStr">
        <is>
          <t>Professor da Educação Básica (40h)</t>
        </is>
      </c>
      <c r="C601" s="4" t="inlineStr">
        <is>
          <t>Efetivo Concursado</t>
        </is>
      </c>
      <c r="D601" s="4" t="inlineStr">
        <is>
          <t>SEC-EDU</t>
        </is>
      </c>
      <c r="E601" s="6" t="n">
        <v>4815.2</v>
      </c>
      <c r="F601" s="6">
        <f>E601*0.22</f>
        <v/>
      </c>
      <c r="G601" s="6">
        <f>E601+F601</f>
        <v/>
      </c>
      <c r="H601" s="10" t="n">
        <v>4</v>
      </c>
      <c r="I601" s="7">
        <f>H601/(180*0.714)</f>
        <v/>
      </c>
    </row>
    <row r="602">
      <c r="A602" s="4" t="inlineStr">
        <is>
          <t>SERV-10598</t>
        </is>
      </c>
      <c r="B602" s="5" t="inlineStr">
        <is>
          <t>Professor da Educação Básica (40h)</t>
        </is>
      </c>
      <c r="C602" s="4" t="inlineStr">
        <is>
          <t>Efetivo Concursado</t>
        </is>
      </c>
      <c r="D602" s="4" t="inlineStr">
        <is>
          <t>SEC-EDU</t>
        </is>
      </c>
      <c r="E602" s="6" t="n">
        <v>5219.83</v>
      </c>
      <c r="F602" s="6">
        <f>E602*0.22</f>
        <v/>
      </c>
      <c r="G602" s="6">
        <f>E602+F602</f>
        <v/>
      </c>
      <c r="H602" s="10" t="n">
        <v>4</v>
      </c>
      <c r="I602" s="7">
        <f>H602/(180*0.714)</f>
        <v/>
      </c>
    </row>
    <row r="603">
      <c r="A603" s="4" t="inlineStr">
        <is>
          <t>SERV-10599</t>
        </is>
      </c>
      <c r="B603" s="5" t="inlineStr">
        <is>
          <t>Professor da Educação Básica (40h)</t>
        </is>
      </c>
      <c r="C603" s="4" t="inlineStr">
        <is>
          <t>Efetivo Concursado</t>
        </is>
      </c>
      <c r="D603" s="4" t="inlineStr">
        <is>
          <t>SEC-EDU</t>
        </is>
      </c>
      <c r="E603" s="6" t="n">
        <v>5261.28</v>
      </c>
      <c r="F603" s="6">
        <f>E603*0.22</f>
        <v/>
      </c>
      <c r="G603" s="6">
        <f>E603+F603</f>
        <v/>
      </c>
      <c r="H603" s="10" t="n">
        <v>4</v>
      </c>
      <c r="I603" s="7">
        <f>H603/(180*0.714)</f>
        <v/>
      </c>
    </row>
    <row r="604">
      <c r="A604" s="4" t="inlineStr">
        <is>
          <t>SERV-10600</t>
        </is>
      </c>
      <c r="B604" s="5" t="inlineStr">
        <is>
          <t>Professor da Educação Básica (40h)</t>
        </is>
      </c>
      <c r="C604" s="4" t="inlineStr">
        <is>
          <t>Efetivo Concursado</t>
        </is>
      </c>
      <c r="D604" s="4" t="inlineStr">
        <is>
          <t>SEC-EDU</t>
        </is>
      </c>
      <c r="E604" s="6" t="n">
        <v>5795.82</v>
      </c>
      <c r="F604" s="6">
        <f>E604*0.22</f>
        <v/>
      </c>
      <c r="G604" s="6">
        <f>E604+F604</f>
        <v/>
      </c>
      <c r="H604" s="10" t="n">
        <v>5</v>
      </c>
      <c r="I604" s="7">
        <f>H604/(180*0.714)</f>
        <v/>
      </c>
    </row>
    <row r="605">
      <c r="A605" s="4" t="inlineStr">
        <is>
          <t>SERV-10601</t>
        </is>
      </c>
      <c r="B605" s="5" t="inlineStr">
        <is>
          <t>Professor da Educação Básica (40h)</t>
        </is>
      </c>
      <c r="C605" s="4" t="inlineStr">
        <is>
          <t>Efetivo Concursado</t>
        </is>
      </c>
      <c r="D605" s="4" t="inlineStr">
        <is>
          <t>SEC-EDU</t>
        </is>
      </c>
      <c r="E605" s="6" t="n">
        <v>5038.89</v>
      </c>
      <c r="F605" s="6">
        <f>E605*0.22</f>
        <v/>
      </c>
      <c r="G605" s="6">
        <f>E605+F605</f>
        <v/>
      </c>
      <c r="H605" s="10" t="n">
        <v>6</v>
      </c>
      <c r="I605" s="7">
        <f>H605/(180*0.714)</f>
        <v/>
      </c>
    </row>
    <row r="606">
      <c r="A606" s="4" t="inlineStr">
        <is>
          <t>SERV-10602</t>
        </is>
      </c>
      <c r="B606" s="5" t="inlineStr">
        <is>
          <t>Professor da Educação Básica (40h)</t>
        </is>
      </c>
      <c r="C606" s="4" t="inlineStr">
        <is>
          <t>Efetivo Concursado</t>
        </is>
      </c>
      <c r="D606" s="4" t="inlineStr">
        <is>
          <t>SEC-EDU</t>
        </is>
      </c>
      <c r="E606" s="6" t="n">
        <v>5072.69</v>
      </c>
      <c r="F606" s="6">
        <f>E606*0.22</f>
        <v/>
      </c>
      <c r="G606" s="6">
        <f>E606+F606</f>
        <v/>
      </c>
      <c r="H606" s="10" t="n">
        <v>5</v>
      </c>
      <c r="I606" s="7">
        <f>H606/(180*0.714)</f>
        <v/>
      </c>
    </row>
    <row r="607">
      <c r="A607" s="4" t="inlineStr">
        <is>
          <t>SERV-10603</t>
        </is>
      </c>
      <c r="B607" s="5" t="inlineStr">
        <is>
          <t>Professor da Educação Básica (40h)</t>
        </is>
      </c>
      <c r="C607" s="4" t="inlineStr">
        <is>
          <t>Efetivo Concursado</t>
        </is>
      </c>
      <c r="D607" s="4" t="inlineStr">
        <is>
          <t>SEC-EDU</t>
        </is>
      </c>
      <c r="E607" s="6" t="n">
        <v>5472.99</v>
      </c>
      <c r="F607" s="6">
        <f>E607*0.22</f>
        <v/>
      </c>
      <c r="G607" s="6">
        <f>E607+F607</f>
        <v/>
      </c>
      <c r="H607" s="10" t="n">
        <v>4</v>
      </c>
      <c r="I607" s="7">
        <f>H607/(180*0.714)</f>
        <v/>
      </c>
    </row>
    <row r="608">
      <c r="A608" s="4" t="inlineStr">
        <is>
          <t>SERV-10604</t>
        </is>
      </c>
      <c r="B608" s="5" t="inlineStr">
        <is>
          <t>Professor da Educação Básica (40h)</t>
        </is>
      </c>
      <c r="C608" s="4" t="inlineStr">
        <is>
          <t>Efetivo Concursado</t>
        </is>
      </c>
      <c r="D608" s="4" t="inlineStr">
        <is>
          <t>SEC-EDU</t>
        </is>
      </c>
      <c r="E608" s="6" t="n">
        <v>5275.4</v>
      </c>
      <c r="F608" s="6">
        <f>E608*0.22</f>
        <v/>
      </c>
      <c r="G608" s="6">
        <f>E608+F608</f>
        <v/>
      </c>
      <c r="H608" s="10" t="n">
        <v>7</v>
      </c>
      <c r="I608" s="7">
        <f>H608/(180*0.714)</f>
        <v/>
      </c>
    </row>
    <row r="609">
      <c r="A609" s="4" t="inlineStr">
        <is>
          <t>SERV-10605</t>
        </is>
      </c>
      <c r="B609" s="5" t="inlineStr">
        <is>
          <t>Professor da Educação Básica (40h)</t>
        </is>
      </c>
      <c r="C609" s="4" t="inlineStr">
        <is>
          <t>Efetivo Concursado</t>
        </is>
      </c>
      <c r="D609" s="4" t="inlineStr">
        <is>
          <t>SEC-EDU</t>
        </is>
      </c>
      <c r="E609" s="6" t="n">
        <v>5718.63</v>
      </c>
      <c r="F609" s="6">
        <f>E609*0.22</f>
        <v/>
      </c>
      <c r="G609" s="6">
        <f>E609+F609</f>
        <v/>
      </c>
      <c r="H609" s="10" t="n">
        <v>3</v>
      </c>
      <c r="I609" s="7">
        <f>H609/(180*0.714)</f>
        <v/>
      </c>
    </row>
    <row r="610">
      <c r="A610" s="4" t="inlineStr">
        <is>
          <t>SERV-10606</t>
        </is>
      </c>
      <c r="B610" s="5" t="inlineStr">
        <is>
          <t>Professor da Educação Básica (40h)</t>
        </is>
      </c>
      <c r="C610" s="4" t="inlineStr">
        <is>
          <t>Efetivo Concursado</t>
        </is>
      </c>
      <c r="D610" s="4" t="inlineStr">
        <is>
          <t>SEC-EDU</t>
        </is>
      </c>
      <c r="E610" s="6" t="n">
        <v>5356.4</v>
      </c>
      <c r="F610" s="6">
        <f>E610*0.22</f>
        <v/>
      </c>
      <c r="G610" s="6">
        <f>E610+F610</f>
        <v/>
      </c>
      <c r="H610" s="10" t="n">
        <v>2</v>
      </c>
      <c r="I610" s="7">
        <f>H610/(180*0.714)</f>
        <v/>
      </c>
    </row>
    <row r="611">
      <c r="A611" s="4" t="inlineStr">
        <is>
          <t>SERV-10607</t>
        </is>
      </c>
      <c r="B611" s="5" t="inlineStr">
        <is>
          <t>Professor da Educação Básica (40h)</t>
        </is>
      </c>
      <c r="C611" s="4" t="inlineStr">
        <is>
          <t>Efetivo Concursado</t>
        </is>
      </c>
      <c r="D611" s="4" t="inlineStr">
        <is>
          <t>SEC-EDU</t>
        </is>
      </c>
      <c r="E611" s="6" t="n">
        <v>5474.62</v>
      </c>
      <c r="F611" s="6">
        <f>E611*0.22</f>
        <v/>
      </c>
      <c r="G611" s="6">
        <f>E611+F611</f>
        <v/>
      </c>
      <c r="H611" s="10" t="n">
        <v>6</v>
      </c>
      <c r="I611" s="7">
        <f>H611/(180*0.714)</f>
        <v/>
      </c>
    </row>
    <row r="612">
      <c r="A612" s="4" t="inlineStr">
        <is>
          <t>SERV-10608</t>
        </is>
      </c>
      <c r="B612" s="5" t="inlineStr">
        <is>
          <t>Professor da Educação Básica (40h)</t>
        </is>
      </c>
      <c r="C612" s="4" t="inlineStr">
        <is>
          <t>Efetivo Concursado</t>
        </is>
      </c>
      <c r="D612" s="4" t="inlineStr">
        <is>
          <t>SEC-EDU</t>
        </is>
      </c>
      <c r="E612" s="6" t="n">
        <v>5745.11</v>
      </c>
      <c r="F612" s="6">
        <f>E612*0.22</f>
        <v/>
      </c>
      <c r="G612" s="6">
        <f>E612+F612</f>
        <v/>
      </c>
      <c r="H612" s="10" t="n">
        <v>6</v>
      </c>
      <c r="I612" s="7">
        <f>H612/(180*0.714)</f>
        <v/>
      </c>
    </row>
    <row r="613">
      <c r="A613" s="4" t="inlineStr">
        <is>
          <t>SERV-10609</t>
        </is>
      </c>
      <c r="B613" s="5" t="inlineStr">
        <is>
          <t>Professor da Educação Básica (40h)</t>
        </is>
      </c>
      <c r="C613" s="4" t="inlineStr">
        <is>
          <t>Efetivo Concursado</t>
        </is>
      </c>
      <c r="D613" s="4" t="inlineStr">
        <is>
          <t>SEC-EDU</t>
        </is>
      </c>
      <c r="E613" s="6" t="n">
        <v>5289.09</v>
      </c>
      <c r="F613" s="6">
        <f>E613*0.22</f>
        <v/>
      </c>
      <c r="G613" s="6">
        <f>E613+F613</f>
        <v/>
      </c>
      <c r="H613" s="10" t="n">
        <v>3</v>
      </c>
      <c r="I613" s="7">
        <f>H613/(180*0.714)</f>
        <v/>
      </c>
    </row>
    <row r="614">
      <c r="A614" s="4" t="inlineStr">
        <is>
          <t>SERV-10610</t>
        </is>
      </c>
      <c r="B614" s="5" t="inlineStr">
        <is>
          <t>Professor da Educação Básica (40h)</t>
        </is>
      </c>
      <c r="C614" s="4" t="inlineStr">
        <is>
          <t>Efetivo Concursado</t>
        </is>
      </c>
      <c r="D614" s="4" t="inlineStr">
        <is>
          <t>SEC-EDU</t>
        </is>
      </c>
      <c r="E614" s="6" t="n">
        <v>5460.96</v>
      </c>
      <c r="F614" s="6">
        <f>E614*0.22</f>
        <v/>
      </c>
      <c r="G614" s="6">
        <f>E614+F614</f>
        <v/>
      </c>
      <c r="H614" s="10" t="n">
        <v>2</v>
      </c>
      <c r="I614" s="7">
        <f>H614/(180*0.714)</f>
        <v/>
      </c>
    </row>
    <row r="615">
      <c r="A615" s="4" t="inlineStr">
        <is>
          <t>SERV-10611</t>
        </is>
      </c>
      <c r="B615" s="5" t="inlineStr">
        <is>
          <t>Professor da Educação Básica (40h)</t>
        </is>
      </c>
      <c r="C615" s="4" t="inlineStr">
        <is>
          <t>Efetivo Concursado</t>
        </is>
      </c>
      <c r="D615" s="4" t="inlineStr">
        <is>
          <t>SEC-EDU</t>
        </is>
      </c>
      <c r="E615" s="6" t="n">
        <v>5209.57</v>
      </c>
      <c r="F615" s="6">
        <f>E615*0.22</f>
        <v/>
      </c>
      <c r="G615" s="6">
        <f>E615+F615</f>
        <v/>
      </c>
      <c r="H615" s="10" t="n">
        <v>5</v>
      </c>
      <c r="I615" s="7">
        <f>H615/(180*0.714)</f>
        <v/>
      </c>
    </row>
    <row r="616">
      <c r="A616" s="4" t="inlineStr">
        <is>
          <t>SERV-10612</t>
        </is>
      </c>
      <c r="B616" s="5" t="inlineStr">
        <is>
          <t>Professor da Educação Básica (40h)</t>
        </is>
      </c>
      <c r="C616" s="4" t="inlineStr">
        <is>
          <t>Efetivo Concursado</t>
        </is>
      </c>
      <c r="D616" s="4" t="inlineStr">
        <is>
          <t>SEC-EDU</t>
        </is>
      </c>
      <c r="E616" s="6" t="n">
        <v>5423.24</v>
      </c>
      <c r="F616" s="6">
        <f>E616*0.22</f>
        <v/>
      </c>
      <c r="G616" s="6">
        <f>E616+F616</f>
        <v/>
      </c>
      <c r="H616" s="10" t="n">
        <v>7</v>
      </c>
      <c r="I616" s="7">
        <f>H616/(180*0.714)</f>
        <v/>
      </c>
    </row>
    <row r="617">
      <c r="A617" s="4" t="inlineStr">
        <is>
          <t>SERV-10613</t>
        </is>
      </c>
      <c r="B617" s="5" t="inlineStr">
        <is>
          <t>Professor da Educação Básica (40h)</t>
        </is>
      </c>
      <c r="C617" s="4" t="inlineStr">
        <is>
          <t>Efetivo Concursado</t>
        </is>
      </c>
      <c r="D617" s="4" t="inlineStr">
        <is>
          <t>SEC-EDU</t>
        </is>
      </c>
      <c r="E617" s="6" t="n">
        <v>5284.81</v>
      </c>
      <c r="F617" s="6">
        <f>E617*0.22</f>
        <v/>
      </c>
      <c r="G617" s="6">
        <f>E617+F617</f>
        <v/>
      </c>
      <c r="H617" s="10" t="n">
        <v>6</v>
      </c>
      <c r="I617" s="7">
        <f>H617/(180*0.714)</f>
        <v/>
      </c>
    </row>
    <row r="618">
      <c r="A618" s="4" t="inlineStr">
        <is>
          <t>SERV-10614</t>
        </is>
      </c>
      <c r="B618" s="5" t="inlineStr">
        <is>
          <t>Professor da Educação Básica (40h)</t>
        </is>
      </c>
      <c r="C618" s="4" t="inlineStr">
        <is>
          <t>Efetivo Concursado</t>
        </is>
      </c>
      <c r="D618" s="4" t="inlineStr">
        <is>
          <t>SEC-EDU</t>
        </is>
      </c>
      <c r="E618" s="6" t="n">
        <v>4868.86</v>
      </c>
      <c r="F618" s="6">
        <f>E618*0.22</f>
        <v/>
      </c>
      <c r="G618" s="6">
        <f>E618+F618</f>
        <v/>
      </c>
      <c r="H618" s="10" t="n">
        <v>3</v>
      </c>
      <c r="I618" s="7">
        <f>H618/(180*0.714)</f>
        <v/>
      </c>
    </row>
    <row r="619">
      <c r="A619" s="4" t="inlineStr">
        <is>
          <t>SERV-10615</t>
        </is>
      </c>
      <c r="B619" s="5" t="inlineStr">
        <is>
          <t>Professor da Educação Básica (40h)</t>
        </is>
      </c>
      <c r="C619" s="4" t="inlineStr">
        <is>
          <t>Efetivo Concursado</t>
        </is>
      </c>
      <c r="D619" s="4" t="inlineStr">
        <is>
          <t>SEC-EDU</t>
        </is>
      </c>
      <c r="E619" s="6" t="n">
        <v>4909.37</v>
      </c>
      <c r="F619" s="6">
        <f>E619*0.22</f>
        <v/>
      </c>
      <c r="G619" s="6">
        <f>E619+F619</f>
        <v/>
      </c>
      <c r="H619" s="10" t="n">
        <v>5</v>
      </c>
      <c r="I619" s="7">
        <f>H619/(180*0.714)</f>
        <v/>
      </c>
    </row>
    <row r="620">
      <c r="A620" s="4" t="inlineStr">
        <is>
          <t>SERV-10616</t>
        </is>
      </c>
      <c r="B620" s="5" t="inlineStr">
        <is>
          <t>Professor da Educação Básica (40h)</t>
        </is>
      </c>
      <c r="C620" s="4" t="inlineStr">
        <is>
          <t>Efetivo Concursado</t>
        </is>
      </c>
      <c r="D620" s="4" t="inlineStr">
        <is>
          <t>SEC-EDU</t>
        </is>
      </c>
      <c r="E620" s="6" t="n">
        <v>5735.09</v>
      </c>
      <c r="F620" s="6">
        <f>E620*0.22</f>
        <v/>
      </c>
      <c r="G620" s="6">
        <f>E620+F620</f>
        <v/>
      </c>
      <c r="H620" s="10" t="n">
        <v>3</v>
      </c>
      <c r="I620" s="7">
        <f>H620/(180*0.714)</f>
        <v/>
      </c>
    </row>
    <row r="621">
      <c r="A621" s="4" t="inlineStr">
        <is>
          <t>SERV-10617</t>
        </is>
      </c>
      <c r="B621" s="5" t="inlineStr">
        <is>
          <t>Professor da Educação Básica (40h)</t>
        </is>
      </c>
      <c r="C621" s="4" t="inlineStr">
        <is>
          <t>Efetivo Concursado</t>
        </is>
      </c>
      <c r="D621" s="4" t="inlineStr">
        <is>
          <t>SEC-EDU</t>
        </is>
      </c>
      <c r="E621" s="6" t="n">
        <v>5192.79</v>
      </c>
      <c r="F621" s="6">
        <f>E621*0.22</f>
        <v/>
      </c>
      <c r="G621" s="6">
        <f>E621+F621</f>
        <v/>
      </c>
      <c r="H621" s="10" t="n">
        <v>7</v>
      </c>
      <c r="I621" s="7">
        <f>H621/(180*0.714)</f>
        <v/>
      </c>
    </row>
    <row r="622">
      <c r="A622" s="4" t="inlineStr">
        <is>
          <t>SERV-10618</t>
        </is>
      </c>
      <c r="B622" s="5" t="inlineStr">
        <is>
          <t>Professor da Educação Básica (40h)</t>
        </is>
      </c>
      <c r="C622" s="4" t="inlineStr">
        <is>
          <t>Efetivo Concursado</t>
        </is>
      </c>
      <c r="D622" s="4" t="inlineStr">
        <is>
          <t>SEC-EDU</t>
        </is>
      </c>
      <c r="E622" s="6" t="n">
        <v>4999.87</v>
      </c>
      <c r="F622" s="6">
        <f>E622*0.22</f>
        <v/>
      </c>
      <c r="G622" s="6">
        <f>E622+F622</f>
        <v/>
      </c>
      <c r="H622" s="10" t="n">
        <v>5</v>
      </c>
      <c r="I622" s="7">
        <f>H622/(180*0.714)</f>
        <v/>
      </c>
    </row>
    <row r="623">
      <c r="A623" s="4" t="inlineStr">
        <is>
          <t>SERV-10619</t>
        </is>
      </c>
      <c r="B623" s="5" t="inlineStr">
        <is>
          <t>Professor da Educação Básica (40h)</t>
        </is>
      </c>
      <c r="C623" s="4" t="inlineStr">
        <is>
          <t>Efetivo Concursado</t>
        </is>
      </c>
      <c r="D623" s="4" t="inlineStr">
        <is>
          <t>SEC-EDU</t>
        </is>
      </c>
      <c r="E623" s="6" t="n">
        <v>5655.24</v>
      </c>
      <c r="F623" s="6">
        <f>E623*0.22</f>
        <v/>
      </c>
      <c r="G623" s="6">
        <f>E623+F623</f>
        <v/>
      </c>
      <c r="H623" s="10" t="n">
        <v>7</v>
      </c>
      <c r="I623" s="7">
        <f>H623/(180*0.714)</f>
        <v/>
      </c>
    </row>
    <row r="624">
      <c r="A624" s="4" t="inlineStr">
        <is>
          <t>SERV-10620</t>
        </is>
      </c>
      <c r="B624" s="5" t="inlineStr">
        <is>
          <t>Professor da Educação Básica (40h)</t>
        </is>
      </c>
      <c r="C624" s="4" t="inlineStr">
        <is>
          <t>Efetivo Concursado</t>
        </is>
      </c>
      <c r="D624" s="4" t="inlineStr">
        <is>
          <t>SEC-EDU</t>
        </is>
      </c>
      <c r="E624" s="6" t="n">
        <v>5170.92</v>
      </c>
      <c r="F624" s="6">
        <f>E624*0.22</f>
        <v/>
      </c>
      <c r="G624" s="6">
        <f>E624+F624</f>
        <v/>
      </c>
      <c r="H624" s="10" t="n">
        <v>2</v>
      </c>
      <c r="I624" s="7">
        <f>H624/(180*0.714)</f>
        <v/>
      </c>
    </row>
    <row r="625">
      <c r="A625" s="4" t="inlineStr">
        <is>
          <t>SERV-10621</t>
        </is>
      </c>
      <c r="B625" s="5" t="inlineStr">
        <is>
          <t>Professor da Educação Básica (40h)</t>
        </is>
      </c>
      <c r="C625" s="4" t="inlineStr">
        <is>
          <t>Efetivo Concursado</t>
        </is>
      </c>
      <c r="D625" s="4" t="inlineStr">
        <is>
          <t>SEC-EDU</t>
        </is>
      </c>
      <c r="E625" s="6" t="n">
        <v>5532.96</v>
      </c>
      <c r="F625" s="6">
        <f>E625*0.22</f>
        <v/>
      </c>
      <c r="G625" s="6">
        <f>E625+F625</f>
        <v/>
      </c>
      <c r="H625" s="10" t="n">
        <v>7</v>
      </c>
      <c r="I625" s="7">
        <f>H625/(180*0.714)</f>
        <v/>
      </c>
    </row>
    <row r="626">
      <c r="A626" s="4" t="inlineStr">
        <is>
          <t>SERV-10622</t>
        </is>
      </c>
      <c r="B626" s="5" t="inlineStr">
        <is>
          <t>Professor da Educação Básica (40h)</t>
        </is>
      </c>
      <c r="C626" s="4" t="inlineStr">
        <is>
          <t>Efetivo Concursado</t>
        </is>
      </c>
      <c r="D626" s="4" t="inlineStr">
        <is>
          <t>SEC-EDU</t>
        </is>
      </c>
      <c r="E626" s="6" t="n">
        <v>5178.27</v>
      </c>
      <c r="F626" s="6">
        <f>E626*0.22</f>
        <v/>
      </c>
      <c r="G626" s="6">
        <f>E626+F626</f>
        <v/>
      </c>
      <c r="H626" s="10" t="n">
        <v>5</v>
      </c>
      <c r="I626" s="7">
        <f>H626/(180*0.714)</f>
        <v/>
      </c>
    </row>
    <row r="627">
      <c r="A627" s="4" t="inlineStr">
        <is>
          <t>SERV-10623</t>
        </is>
      </c>
      <c r="B627" s="5" t="inlineStr">
        <is>
          <t>Professor da Educação Básica (40h)</t>
        </is>
      </c>
      <c r="C627" s="4" t="inlineStr">
        <is>
          <t>Efetivo Concursado</t>
        </is>
      </c>
      <c r="D627" s="4" t="inlineStr">
        <is>
          <t>SEC-EDU</t>
        </is>
      </c>
      <c r="E627" s="6" t="n">
        <v>5264.01</v>
      </c>
      <c r="F627" s="6">
        <f>E627*0.22</f>
        <v/>
      </c>
      <c r="G627" s="6">
        <f>E627+F627</f>
        <v/>
      </c>
      <c r="H627" s="10" t="n">
        <v>7</v>
      </c>
      <c r="I627" s="7">
        <f>H627/(180*0.714)</f>
        <v/>
      </c>
    </row>
    <row r="628">
      <c r="A628" s="4" t="inlineStr">
        <is>
          <t>SERV-10624</t>
        </is>
      </c>
      <c r="B628" s="5" t="inlineStr">
        <is>
          <t>Professor da Educação Básica (40h)</t>
        </is>
      </c>
      <c r="C628" s="4" t="inlineStr">
        <is>
          <t>Efetivo Concursado</t>
        </is>
      </c>
      <c r="D628" s="4" t="inlineStr">
        <is>
          <t>SEC-EDU</t>
        </is>
      </c>
      <c r="E628" s="6" t="n">
        <v>5425.35</v>
      </c>
      <c r="F628" s="6">
        <f>E628*0.22</f>
        <v/>
      </c>
      <c r="G628" s="6">
        <f>E628+F628</f>
        <v/>
      </c>
      <c r="H628" s="10" t="n">
        <v>6</v>
      </c>
      <c r="I628" s="7">
        <f>H628/(180*0.714)</f>
        <v/>
      </c>
    </row>
    <row r="629">
      <c r="A629" s="4" t="inlineStr">
        <is>
          <t>SERV-10625</t>
        </is>
      </c>
      <c r="B629" s="5" t="inlineStr">
        <is>
          <t>Professor da Educação Básica (40h)</t>
        </is>
      </c>
      <c r="C629" s="4" t="inlineStr">
        <is>
          <t>Efetivo Concursado</t>
        </is>
      </c>
      <c r="D629" s="4" t="inlineStr">
        <is>
          <t>SEC-EDU</t>
        </is>
      </c>
      <c r="E629" s="6" t="n">
        <v>5636.2</v>
      </c>
      <c r="F629" s="6">
        <f>E629*0.22</f>
        <v/>
      </c>
      <c r="G629" s="6">
        <f>E629+F629</f>
        <v/>
      </c>
      <c r="H629" s="10" t="n">
        <v>4</v>
      </c>
      <c r="I629" s="7">
        <f>H629/(180*0.714)</f>
        <v/>
      </c>
    </row>
    <row r="630">
      <c r="A630" s="4" t="inlineStr">
        <is>
          <t>SERV-10626</t>
        </is>
      </c>
      <c r="B630" s="5" t="inlineStr">
        <is>
          <t>Professor da Educação Básica (40h)</t>
        </is>
      </c>
      <c r="C630" s="4" t="inlineStr">
        <is>
          <t>Efetivo Concursado</t>
        </is>
      </c>
      <c r="D630" s="4" t="inlineStr">
        <is>
          <t>SEC-EDU</t>
        </is>
      </c>
      <c r="E630" s="6" t="n">
        <v>5176.72</v>
      </c>
      <c r="F630" s="6">
        <f>E630*0.22</f>
        <v/>
      </c>
      <c r="G630" s="6">
        <f>E630+F630</f>
        <v/>
      </c>
      <c r="H630" s="10" t="n">
        <v>4</v>
      </c>
      <c r="I630" s="7">
        <f>H630/(180*0.714)</f>
        <v/>
      </c>
    </row>
    <row r="631">
      <c r="A631" s="4" t="inlineStr">
        <is>
          <t>SERV-10627</t>
        </is>
      </c>
      <c r="B631" s="5" t="inlineStr">
        <is>
          <t>Professor da Educação Básica (40h)</t>
        </is>
      </c>
      <c r="C631" s="4" t="inlineStr">
        <is>
          <t>Efetivo Concursado</t>
        </is>
      </c>
      <c r="D631" s="4" t="inlineStr">
        <is>
          <t>SEC-EDU</t>
        </is>
      </c>
      <c r="E631" s="6" t="n">
        <v>5198.56</v>
      </c>
      <c r="F631" s="6">
        <f>E631*0.22</f>
        <v/>
      </c>
      <c r="G631" s="6">
        <f>E631+F631</f>
        <v/>
      </c>
      <c r="H631" s="10" t="n">
        <v>2</v>
      </c>
      <c r="I631" s="7">
        <f>H631/(180*0.714)</f>
        <v/>
      </c>
    </row>
    <row r="632">
      <c r="A632" s="4" t="inlineStr">
        <is>
          <t>SERV-10628</t>
        </is>
      </c>
      <c r="B632" s="5" t="inlineStr">
        <is>
          <t>Professor da Educação Básica (40h)</t>
        </is>
      </c>
      <c r="C632" s="4" t="inlineStr">
        <is>
          <t>Efetivo Concursado</t>
        </is>
      </c>
      <c r="D632" s="4" t="inlineStr">
        <is>
          <t>SEC-EDU</t>
        </is>
      </c>
      <c r="E632" s="6" t="n">
        <v>5288.51</v>
      </c>
      <c r="F632" s="6">
        <f>E632*0.22</f>
        <v/>
      </c>
      <c r="G632" s="6">
        <f>E632+F632</f>
        <v/>
      </c>
      <c r="H632" s="10" t="n">
        <v>6</v>
      </c>
      <c r="I632" s="7">
        <f>H632/(180*0.714)</f>
        <v/>
      </c>
    </row>
    <row r="633">
      <c r="A633" s="4" t="inlineStr">
        <is>
          <t>SERV-10629</t>
        </is>
      </c>
      <c r="B633" s="5" t="inlineStr">
        <is>
          <t>Professor da Educação Básica (40h)</t>
        </is>
      </c>
      <c r="C633" s="4" t="inlineStr">
        <is>
          <t>Efetivo Concursado</t>
        </is>
      </c>
      <c r="D633" s="4" t="inlineStr">
        <is>
          <t>SEC-EDU</t>
        </is>
      </c>
      <c r="E633" s="6" t="n">
        <v>5820.87</v>
      </c>
      <c r="F633" s="6">
        <f>E633*0.22</f>
        <v/>
      </c>
      <c r="G633" s="6">
        <f>E633+F633</f>
        <v/>
      </c>
      <c r="H633" s="10" t="n">
        <v>7</v>
      </c>
      <c r="I633" s="7">
        <f>H633/(180*0.714)</f>
        <v/>
      </c>
    </row>
    <row r="634">
      <c r="A634" s="4" t="inlineStr">
        <is>
          <t>SERV-10630</t>
        </is>
      </c>
      <c r="B634" s="5" t="inlineStr">
        <is>
          <t>Professor da Educação Básica (40h)</t>
        </is>
      </c>
      <c r="C634" s="4" t="inlineStr">
        <is>
          <t>Efetivo Concursado</t>
        </is>
      </c>
      <c r="D634" s="4" t="inlineStr">
        <is>
          <t>SEC-EDU</t>
        </is>
      </c>
      <c r="E634" s="6" t="n">
        <v>5632.17</v>
      </c>
      <c r="F634" s="6">
        <f>E634*0.22</f>
        <v/>
      </c>
      <c r="G634" s="6">
        <f>E634+F634</f>
        <v/>
      </c>
      <c r="H634" s="10" t="n">
        <v>7</v>
      </c>
      <c r="I634" s="7">
        <f>H634/(180*0.714)</f>
        <v/>
      </c>
    </row>
    <row r="635">
      <c r="A635" s="4" t="inlineStr">
        <is>
          <t>SERV-10631</t>
        </is>
      </c>
      <c r="B635" s="5" t="inlineStr">
        <is>
          <t>Professor da Educação Básica (40h)</t>
        </is>
      </c>
      <c r="C635" s="4" t="inlineStr">
        <is>
          <t>Efetivo Concursado</t>
        </is>
      </c>
      <c r="D635" s="4" t="inlineStr">
        <is>
          <t>SEC-EDU</t>
        </is>
      </c>
      <c r="E635" s="6" t="n">
        <v>5758.3</v>
      </c>
      <c r="F635" s="6">
        <f>E635*0.22</f>
        <v/>
      </c>
      <c r="G635" s="6">
        <f>E635+F635</f>
        <v/>
      </c>
      <c r="H635" s="10" t="n">
        <v>2</v>
      </c>
      <c r="I635" s="7">
        <f>H635/(180*0.714)</f>
        <v/>
      </c>
    </row>
    <row r="636">
      <c r="A636" s="4" t="inlineStr">
        <is>
          <t>SERV-10632</t>
        </is>
      </c>
      <c r="B636" s="5" t="inlineStr">
        <is>
          <t>Professor da Educação Básica (40h)</t>
        </is>
      </c>
      <c r="C636" s="4" t="inlineStr">
        <is>
          <t>Efetivo Concursado</t>
        </is>
      </c>
      <c r="D636" s="4" t="inlineStr">
        <is>
          <t>SEC-EDU</t>
        </is>
      </c>
      <c r="E636" s="6" t="n">
        <v>4814.5</v>
      </c>
      <c r="F636" s="6">
        <f>E636*0.22</f>
        <v/>
      </c>
      <c r="G636" s="6">
        <f>E636+F636</f>
        <v/>
      </c>
      <c r="H636" s="10" t="n">
        <v>3</v>
      </c>
      <c r="I636" s="7">
        <f>H636/(180*0.714)</f>
        <v/>
      </c>
    </row>
    <row r="637">
      <c r="A637" s="4" t="inlineStr">
        <is>
          <t>SERV-10633</t>
        </is>
      </c>
      <c r="B637" s="5" t="inlineStr">
        <is>
          <t>Professor da Educação Básica (40h)</t>
        </is>
      </c>
      <c r="C637" s="4" t="inlineStr">
        <is>
          <t>Efetivo Concursado</t>
        </is>
      </c>
      <c r="D637" s="4" t="inlineStr">
        <is>
          <t>SEC-EDU</t>
        </is>
      </c>
      <c r="E637" s="6" t="n">
        <v>5683.27</v>
      </c>
      <c r="F637" s="6">
        <f>E637*0.22</f>
        <v/>
      </c>
      <c r="G637" s="6">
        <f>E637+F637</f>
        <v/>
      </c>
      <c r="H637" s="10" t="n">
        <v>7</v>
      </c>
      <c r="I637" s="7">
        <f>H637/(180*0.714)</f>
        <v/>
      </c>
    </row>
    <row r="638">
      <c r="A638" s="4" t="inlineStr">
        <is>
          <t>SERV-10634</t>
        </is>
      </c>
      <c r="B638" s="5" t="inlineStr">
        <is>
          <t>Professor da Educação Básica (40h)</t>
        </is>
      </c>
      <c r="C638" s="4" t="inlineStr">
        <is>
          <t>Efetivo Concursado</t>
        </is>
      </c>
      <c r="D638" s="4" t="inlineStr">
        <is>
          <t>SEC-EDU</t>
        </is>
      </c>
      <c r="E638" s="6" t="n">
        <v>4875.09</v>
      </c>
      <c r="F638" s="6">
        <f>E638*0.22</f>
        <v/>
      </c>
      <c r="G638" s="6">
        <f>E638+F638</f>
        <v/>
      </c>
      <c r="H638" s="10" t="n">
        <v>7</v>
      </c>
      <c r="I638" s="7">
        <f>H638/(180*0.714)</f>
        <v/>
      </c>
    </row>
    <row r="639">
      <c r="A639" s="4" t="inlineStr">
        <is>
          <t>SERV-10635</t>
        </is>
      </c>
      <c r="B639" s="5" t="inlineStr">
        <is>
          <t>Professor da Educação Básica (40h)</t>
        </is>
      </c>
      <c r="C639" s="4" t="inlineStr">
        <is>
          <t>Efetivo Concursado</t>
        </is>
      </c>
      <c r="D639" s="4" t="inlineStr">
        <is>
          <t>SEC-EDU</t>
        </is>
      </c>
      <c r="E639" s="6" t="n">
        <v>5334.37</v>
      </c>
      <c r="F639" s="6">
        <f>E639*0.22</f>
        <v/>
      </c>
      <c r="G639" s="6">
        <f>E639+F639</f>
        <v/>
      </c>
      <c r="H639" s="10" t="n">
        <v>3</v>
      </c>
      <c r="I639" s="7">
        <f>H639/(180*0.714)</f>
        <v/>
      </c>
    </row>
    <row r="640">
      <c r="A640" s="4" t="inlineStr">
        <is>
          <t>SERV-10636</t>
        </is>
      </c>
      <c r="B640" s="5" t="inlineStr">
        <is>
          <t>Professor da Educação Básica (40h)</t>
        </is>
      </c>
      <c r="C640" s="4" t="inlineStr">
        <is>
          <t>Efetivo Concursado</t>
        </is>
      </c>
      <c r="D640" s="4" t="inlineStr">
        <is>
          <t>SEC-EDU</t>
        </is>
      </c>
      <c r="E640" s="6" t="n">
        <v>5301.23</v>
      </c>
      <c r="F640" s="6">
        <f>E640*0.22</f>
        <v/>
      </c>
      <c r="G640" s="6">
        <f>E640+F640</f>
        <v/>
      </c>
      <c r="H640" s="10" t="n">
        <v>5</v>
      </c>
      <c r="I640" s="7">
        <f>H640/(180*0.714)</f>
        <v/>
      </c>
    </row>
    <row r="641">
      <c r="A641" s="4" t="inlineStr">
        <is>
          <t>SERV-10637</t>
        </is>
      </c>
      <c r="B641" s="5" t="inlineStr">
        <is>
          <t>Professor da Educação Básica (40h)</t>
        </is>
      </c>
      <c r="C641" s="4" t="inlineStr">
        <is>
          <t>Efetivo Concursado</t>
        </is>
      </c>
      <c r="D641" s="4" t="inlineStr">
        <is>
          <t>SEC-EDU</t>
        </is>
      </c>
      <c r="E641" s="6" t="n">
        <v>5458.91</v>
      </c>
      <c r="F641" s="6">
        <f>E641*0.22</f>
        <v/>
      </c>
      <c r="G641" s="6">
        <f>E641+F641</f>
        <v/>
      </c>
      <c r="H641" s="10" t="n">
        <v>6</v>
      </c>
      <c r="I641" s="7">
        <f>H641/(180*0.714)</f>
        <v/>
      </c>
    </row>
    <row r="642">
      <c r="A642" s="4" t="inlineStr">
        <is>
          <t>SERV-10638</t>
        </is>
      </c>
      <c r="B642" s="5" t="inlineStr">
        <is>
          <t>Professor da Educação Básica (40h)</t>
        </is>
      </c>
      <c r="C642" s="4" t="inlineStr">
        <is>
          <t>Efetivo Concursado</t>
        </is>
      </c>
      <c r="D642" s="4" t="inlineStr">
        <is>
          <t>SEC-EDU</t>
        </is>
      </c>
      <c r="E642" s="6" t="n">
        <v>5806.22</v>
      </c>
      <c r="F642" s="6">
        <f>E642*0.22</f>
        <v/>
      </c>
      <c r="G642" s="6">
        <f>E642+F642</f>
        <v/>
      </c>
      <c r="H642" s="10" t="n">
        <v>7</v>
      </c>
      <c r="I642" s="7">
        <f>H642/(180*0.714)</f>
        <v/>
      </c>
    </row>
    <row r="643">
      <c r="A643" s="4" t="inlineStr">
        <is>
          <t>SERV-10639</t>
        </is>
      </c>
      <c r="B643" s="5" t="inlineStr">
        <is>
          <t>Professor da Educação Básica (40h)</t>
        </is>
      </c>
      <c r="C643" s="4" t="inlineStr">
        <is>
          <t>Efetivo Concursado</t>
        </is>
      </c>
      <c r="D643" s="4" t="inlineStr">
        <is>
          <t>SEC-EDU</t>
        </is>
      </c>
      <c r="E643" s="6" t="n">
        <v>5528.83</v>
      </c>
      <c r="F643" s="6">
        <f>E643*0.22</f>
        <v/>
      </c>
      <c r="G643" s="6">
        <f>E643+F643</f>
        <v/>
      </c>
      <c r="H643" s="10" t="n">
        <v>5</v>
      </c>
      <c r="I643" s="7">
        <f>H643/(180*0.714)</f>
        <v/>
      </c>
    </row>
    <row r="644">
      <c r="A644" s="4" t="inlineStr">
        <is>
          <t>SERV-10640</t>
        </is>
      </c>
      <c r="B644" s="5" t="inlineStr">
        <is>
          <t>Professor da Educação Básica (40h)</t>
        </is>
      </c>
      <c r="C644" s="4" t="inlineStr">
        <is>
          <t>Efetivo Concursado</t>
        </is>
      </c>
      <c r="D644" s="4" t="inlineStr">
        <is>
          <t>SEC-EDU</t>
        </is>
      </c>
      <c r="E644" s="6" t="n">
        <v>5203.15</v>
      </c>
      <c r="F644" s="6">
        <f>E644*0.22</f>
        <v/>
      </c>
      <c r="G644" s="6">
        <f>E644+F644</f>
        <v/>
      </c>
      <c r="H644" s="10" t="n">
        <v>3</v>
      </c>
      <c r="I644" s="7">
        <f>H644/(180*0.714)</f>
        <v/>
      </c>
    </row>
    <row r="645">
      <c r="A645" s="4" t="inlineStr">
        <is>
          <t>SERV-10641</t>
        </is>
      </c>
      <c r="B645" s="5" t="inlineStr">
        <is>
          <t>Professor da Educação Básica (40h)</t>
        </is>
      </c>
      <c r="C645" s="4" t="inlineStr">
        <is>
          <t>Efetivo Concursado</t>
        </is>
      </c>
      <c r="D645" s="4" t="inlineStr">
        <is>
          <t>SEC-EDU</t>
        </is>
      </c>
      <c r="E645" s="6" t="n">
        <v>5540.78</v>
      </c>
      <c r="F645" s="6">
        <f>E645*0.22</f>
        <v/>
      </c>
      <c r="G645" s="6">
        <f>E645+F645</f>
        <v/>
      </c>
      <c r="H645" s="10" t="n">
        <v>2</v>
      </c>
      <c r="I645" s="7">
        <f>H645/(180*0.714)</f>
        <v/>
      </c>
    </row>
    <row r="646">
      <c r="A646" s="4" t="inlineStr">
        <is>
          <t>SERV-10642</t>
        </is>
      </c>
      <c r="B646" s="5" t="inlineStr">
        <is>
          <t>Professor da Educação Básica (40h)</t>
        </is>
      </c>
      <c r="C646" s="4" t="inlineStr">
        <is>
          <t>Efetivo Concursado</t>
        </is>
      </c>
      <c r="D646" s="4" t="inlineStr">
        <is>
          <t>SEC-EDU</t>
        </is>
      </c>
      <c r="E646" s="6" t="n">
        <v>5264.35</v>
      </c>
      <c r="F646" s="6">
        <f>E646*0.22</f>
        <v/>
      </c>
      <c r="G646" s="6">
        <f>E646+F646</f>
        <v/>
      </c>
      <c r="H646" s="10" t="n">
        <v>6</v>
      </c>
      <c r="I646" s="7">
        <f>H646/(180*0.714)</f>
        <v/>
      </c>
    </row>
    <row r="647">
      <c r="A647" s="4" t="inlineStr">
        <is>
          <t>SERV-10643</t>
        </is>
      </c>
      <c r="B647" s="5" t="inlineStr">
        <is>
          <t>Professor da Educação Básica (40h)</t>
        </is>
      </c>
      <c r="C647" s="4" t="inlineStr">
        <is>
          <t>Efetivo Concursado</t>
        </is>
      </c>
      <c r="D647" s="4" t="inlineStr">
        <is>
          <t>SEC-EDU</t>
        </is>
      </c>
      <c r="E647" s="6" t="n">
        <v>5180.23</v>
      </c>
      <c r="F647" s="6">
        <f>E647*0.22</f>
        <v/>
      </c>
      <c r="G647" s="6">
        <f>E647+F647</f>
        <v/>
      </c>
      <c r="H647" s="10" t="n">
        <v>5</v>
      </c>
      <c r="I647" s="7">
        <f>H647/(180*0.714)</f>
        <v/>
      </c>
    </row>
    <row r="648">
      <c r="A648" s="4" t="inlineStr">
        <is>
          <t>SERV-10644</t>
        </is>
      </c>
      <c r="B648" s="5" t="inlineStr">
        <is>
          <t>Professor da Educação Básica (40h)</t>
        </is>
      </c>
      <c r="C648" s="4" t="inlineStr">
        <is>
          <t>Efetivo Concursado</t>
        </is>
      </c>
      <c r="D648" s="4" t="inlineStr">
        <is>
          <t>SEC-EDU</t>
        </is>
      </c>
      <c r="E648" s="6" t="n">
        <v>5546.34</v>
      </c>
      <c r="F648" s="6">
        <f>E648*0.22</f>
        <v/>
      </c>
      <c r="G648" s="6">
        <f>E648+F648</f>
        <v/>
      </c>
      <c r="H648" s="10" t="n">
        <v>4</v>
      </c>
      <c r="I648" s="7">
        <f>H648/(180*0.714)</f>
        <v/>
      </c>
    </row>
    <row r="649">
      <c r="A649" s="4" t="inlineStr">
        <is>
          <t>SERV-10645</t>
        </is>
      </c>
      <c r="B649" s="5" t="inlineStr">
        <is>
          <t>Professor da Educação Básica (40h)</t>
        </is>
      </c>
      <c r="C649" s="4" t="inlineStr">
        <is>
          <t>Efetivo Concursado</t>
        </is>
      </c>
      <c r="D649" s="4" t="inlineStr">
        <is>
          <t>SEC-EDU</t>
        </is>
      </c>
      <c r="E649" s="6" t="n">
        <v>5737.62</v>
      </c>
      <c r="F649" s="6">
        <f>E649*0.22</f>
        <v/>
      </c>
      <c r="G649" s="6">
        <f>E649+F649</f>
        <v/>
      </c>
      <c r="H649" s="10" t="n">
        <v>4</v>
      </c>
      <c r="I649" s="7">
        <f>H649/(180*0.714)</f>
        <v/>
      </c>
    </row>
    <row r="650">
      <c r="A650" s="4" t="inlineStr">
        <is>
          <t>SERV-10646</t>
        </is>
      </c>
      <c r="B650" s="5" t="inlineStr">
        <is>
          <t>Professor da Educação Básica (40h)</t>
        </is>
      </c>
      <c r="C650" s="4" t="inlineStr">
        <is>
          <t>Efetivo Concursado</t>
        </is>
      </c>
      <c r="D650" s="4" t="inlineStr">
        <is>
          <t>SEC-EDU</t>
        </is>
      </c>
      <c r="E650" s="6" t="n">
        <v>5263.46</v>
      </c>
      <c r="F650" s="6">
        <f>E650*0.22</f>
        <v/>
      </c>
      <c r="G650" s="6">
        <f>E650+F650</f>
        <v/>
      </c>
      <c r="H650" s="10" t="n">
        <v>6</v>
      </c>
      <c r="I650" s="7">
        <f>H650/(180*0.714)</f>
        <v/>
      </c>
    </row>
    <row r="651">
      <c r="A651" s="4" t="inlineStr">
        <is>
          <t>SERV-10647</t>
        </is>
      </c>
      <c r="B651" s="5" t="inlineStr">
        <is>
          <t>Professor da Educação Básica (40h)</t>
        </is>
      </c>
      <c r="C651" s="4" t="inlineStr">
        <is>
          <t>Efetivo Concursado</t>
        </is>
      </c>
      <c r="D651" s="4" t="inlineStr">
        <is>
          <t>SEC-EDU</t>
        </is>
      </c>
      <c r="E651" s="6" t="n">
        <v>5657.27</v>
      </c>
      <c r="F651" s="6">
        <f>E651*0.22</f>
        <v/>
      </c>
      <c r="G651" s="6">
        <f>E651+F651</f>
        <v/>
      </c>
      <c r="H651" s="10" t="n">
        <v>2</v>
      </c>
      <c r="I651" s="7">
        <f>H651/(180*0.714)</f>
        <v/>
      </c>
    </row>
    <row r="652">
      <c r="A652" s="4" t="inlineStr">
        <is>
          <t>SERV-10648</t>
        </is>
      </c>
      <c r="B652" s="5" t="inlineStr">
        <is>
          <t>Professor da Educação Básica (40h)</t>
        </is>
      </c>
      <c r="C652" s="4" t="inlineStr">
        <is>
          <t>Efetivo Concursado</t>
        </is>
      </c>
      <c r="D652" s="4" t="inlineStr">
        <is>
          <t>SEC-EDU</t>
        </is>
      </c>
      <c r="E652" s="6" t="n">
        <v>5573.79</v>
      </c>
      <c r="F652" s="6">
        <f>E652*0.22</f>
        <v/>
      </c>
      <c r="G652" s="6">
        <f>E652+F652</f>
        <v/>
      </c>
      <c r="H652" s="10" t="n">
        <v>4</v>
      </c>
      <c r="I652" s="7">
        <f>H652/(180*0.714)</f>
        <v/>
      </c>
    </row>
    <row r="653">
      <c r="A653" s="4" t="inlineStr">
        <is>
          <t>SERV-10649</t>
        </is>
      </c>
      <c r="B653" s="5" t="inlineStr">
        <is>
          <t>Professor da Educação Básica (40h)</t>
        </is>
      </c>
      <c r="C653" s="4" t="inlineStr">
        <is>
          <t>Efetivo Concursado</t>
        </is>
      </c>
      <c r="D653" s="4" t="inlineStr">
        <is>
          <t>SEC-EDU</t>
        </is>
      </c>
      <c r="E653" s="6" t="n">
        <v>5716.35</v>
      </c>
      <c r="F653" s="6">
        <f>E653*0.22</f>
        <v/>
      </c>
      <c r="G653" s="6">
        <f>E653+F653</f>
        <v/>
      </c>
      <c r="H653" s="10" t="n">
        <v>7</v>
      </c>
      <c r="I653" s="7">
        <f>H653/(180*0.714)</f>
        <v/>
      </c>
    </row>
    <row r="654">
      <c r="A654" s="4" t="inlineStr">
        <is>
          <t>SERV-10650</t>
        </is>
      </c>
      <c r="B654" s="5" t="inlineStr">
        <is>
          <t>Professor da Educação Básica (40h)</t>
        </is>
      </c>
      <c r="C654" s="4" t="inlineStr">
        <is>
          <t>Efetivo Concursado</t>
        </is>
      </c>
      <c r="D654" s="4" t="inlineStr">
        <is>
          <t>SEC-EDU</t>
        </is>
      </c>
      <c r="E654" s="6" t="n">
        <v>5822.41</v>
      </c>
      <c r="F654" s="6">
        <f>E654*0.22</f>
        <v/>
      </c>
      <c r="G654" s="6">
        <f>E654+F654</f>
        <v/>
      </c>
      <c r="H654" s="10" t="n">
        <v>3</v>
      </c>
      <c r="I654" s="7">
        <f>H654/(180*0.714)</f>
        <v/>
      </c>
    </row>
    <row r="655">
      <c r="A655" s="4" t="inlineStr">
        <is>
          <t>SERV-10651</t>
        </is>
      </c>
      <c r="B655" s="5" t="inlineStr">
        <is>
          <t>Professor da Educação Básica (40h)</t>
        </is>
      </c>
      <c r="C655" s="4" t="inlineStr">
        <is>
          <t>Efetivo Concursado</t>
        </is>
      </c>
      <c r="D655" s="4" t="inlineStr">
        <is>
          <t>SEC-EDU</t>
        </is>
      </c>
      <c r="E655" s="6" t="n">
        <v>5573.78</v>
      </c>
      <c r="F655" s="6">
        <f>E655*0.22</f>
        <v/>
      </c>
      <c r="G655" s="6">
        <f>E655+F655</f>
        <v/>
      </c>
      <c r="H655" s="10" t="n">
        <v>6</v>
      </c>
      <c r="I655" s="7">
        <f>H655/(180*0.714)</f>
        <v/>
      </c>
    </row>
    <row r="656">
      <c r="A656" s="4" t="inlineStr">
        <is>
          <t>SERV-10652</t>
        </is>
      </c>
      <c r="B656" s="5" t="inlineStr">
        <is>
          <t>Professor da Educação Básica (40h)</t>
        </is>
      </c>
      <c r="C656" s="4" t="inlineStr">
        <is>
          <t>Efetivo Concursado</t>
        </is>
      </c>
      <c r="D656" s="4" t="inlineStr">
        <is>
          <t>SEC-EDU</t>
        </is>
      </c>
      <c r="E656" s="6" t="n">
        <v>4890.59</v>
      </c>
      <c r="F656" s="6">
        <f>E656*0.22</f>
        <v/>
      </c>
      <c r="G656" s="6">
        <f>E656+F656</f>
        <v/>
      </c>
      <c r="H656" s="10" t="n">
        <v>2</v>
      </c>
      <c r="I656" s="7">
        <f>H656/(180*0.714)</f>
        <v/>
      </c>
    </row>
    <row r="657">
      <c r="A657" s="4" t="inlineStr">
        <is>
          <t>SERV-10653</t>
        </is>
      </c>
      <c r="B657" s="5" t="inlineStr">
        <is>
          <t>Professor da Educação Básica (40h)</t>
        </is>
      </c>
      <c r="C657" s="4" t="inlineStr">
        <is>
          <t>Efetivo Concursado</t>
        </is>
      </c>
      <c r="D657" s="4" t="inlineStr">
        <is>
          <t>SEC-EDU</t>
        </is>
      </c>
      <c r="E657" s="6" t="n">
        <v>4879.56</v>
      </c>
      <c r="F657" s="6">
        <f>E657*0.22</f>
        <v/>
      </c>
      <c r="G657" s="6">
        <f>E657+F657</f>
        <v/>
      </c>
      <c r="H657" s="10" t="n">
        <v>6</v>
      </c>
      <c r="I657" s="7">
        <f>H657/(180*0.714)</f>
        <v/>
      </c>
    </row>
    <row r="658">
      <c r="A658" s="4" t="inlineStr">
        <is>
          <t>SERV-10654</t>
        </is>
      </c>
      <c r="B658" s="5" t="inlineStr">
        <is>
          <t>Professor da Educação Básica (40h)</t>
        </is>
      </c>
      <c r="C658" s="4" t="inlineStr">
        <is>
          <t>Efetivo Concursado</t>
        </is>
      </c>
      <c r="D658" s="4" t="inlineStr">
        <is>
          <t>SEC-EDU</t>
        </is>
      </c>
      <c r="E658" s="6" t="n">
        <v>4934.96</v>
      </c>
      <c r="F658" s="6">
        <f>E658*0.22</f>
        <v/>
      </c>
      <c r="G658" s="6">
        <f>E658+F658</f>
        <v/>
      </c>
      <c r="H658" s="10" t="n">
        <v>5</v>
      </c>
      <c r="I658" s="7">
        <f>H658/(180*0.714)</f>
        <v/>
      </c>
    </row>
    <row r="659">
      <c r="A659" s="4" t="inlineStr">
        <is>
          <t>SERV-10655</t>
        </is>
      </c>
      <c r="B659" s="5" t="inlineStr">
        <is>
          <t>Professor da Educação Básica (40h)</t>
        </is>
      </c>
      <c r="C659" s="4" t="inlineStr">
        <is>
          <t>Efetivo Concursado</t>
        </is>
      </c>
      <c r="D659" s="4" t="inlineStr">
        <is>
          <t>SEC-EDU</t>
        </is>
      </c>
      <c r="E659" s="6" t="n">
        <v>5807.42</v>
      </c>
      <c r="F659" s="6">
        <f>E659*0.22</f>
        <v/>
      </c>
      <c r="G659" s="6">
        <f>E659+F659</f>
        <v/>
      </c>
      <c r="H659" s="10" t="n">
        <v>3</v>
      </c>
      <c r="I659" s="7">
        <f>H659/(180*0.714)</f>
        <v/>
      </c>
    </row>
    <row r="660">
      <c r="A660" s="4" t="inlineStr">
        <is>
          <t>SERV-10656</t>
        </is>
      </c>
      <c r="B660" s="5" t="inlineStr">
        <is>
          <t>Professor da Educação Básica (40h)</t>
        </is>
      </c>
      <c r="C660" s="4" t="inlineStr">
        <is>
          <t>Efetivo Concursado</t>
        </is>
      </c>
      <c r="D660" s="4" t="inlineStr">
        <is>
          <t>SEC-EDU</t>
        </is>
      </c>
      <c r="E660" s="6" t="n">
        <v>5296.07</v>
      </c>
      <c r="F660" s="6">
        <f>E660*0.22</f>
        <v/>
      </c>
      <c r="G660" s="6">
        <f>E660+F660</f>
        <v/>
      </c>
      <c r="H660" s="10" t="n">
        <v>3</v>
      </c>
      <c r="I660" s="7">
        <f>H660/(180*0.714)</f>
        <v/>
      </c>
    </row>
    <row r="661">
      <c r="A661" s="4" t="inlineStr">
        <is>
          <t>SERV-10657</t>
        </is>
      </c>
      <c r="B661" s="5" t="inlineStr">
        <is>
          <t>Professor da Educação Básica (40h)</t>
        </is>
      </c>
      <c r="C661" s="4" t="inlineStr">
        <is>
          <t>Efetivo Concursado</t>
        </is>
      </c>
      <c r="D661" s="4" t="inlineStr">
        <is>
          <t>SEC-EDU</t>
        </is>
      </c>
      <c r="E661" s="6" t="n">
        <v>5079.31</v>
      </c>
      <c r="F661" s="6">
        <f>E661*0.22</f>
        <v/>
      </c>
      <c r="G661" s="6">
        <f>E661+F661</f>
        <v/>
      </c>
      <c r="H661" s="10" t="n">
        <v>7</v>
      </c>
      <c r="I661" s="7">
        <f>H661/(180*0.714)</f>
        <v/>
      </c>
    </row>
    <row r="662">
      <c r="A662" s="4" t="inlineStr">
        <is>
          <t>SERV-10658</t>
        </is>
      </c>
      <c r="B662" s="5" t="inlineStr">
        <is>
          <t>Professor da Educação Básica (40h)</t>
        </is>
      </c>
      <c r="C662" s="4" t="inlineStr">
        <is>
          <t>Efetivo Concursado</t>
        </is>
      </c>
      <c r="D662" s="4" t="inlineStr">
        <is>
          <t>SEC-EDU</t>
        </is>
      </c>
      <c r="E662" s="6" t="n">
        <v>5684.88</v>
      </c>
      <c r="F662" s="6">
        <f>E662*0.22</f>
        <v/>
      </c>
      <c r="G662" s="6">
        <f>E662+F662</f>
        <v/>
      </c>
      <c r="H662" s="10" t="n">
        <v>3</v>
      </c>
      <c r="I662" s="7">
        <f>H662/(180*0.714)</f>
        <v/>
      </c>
    </row>
    <row r="663">
      <c r="A663" s="4" t="inlineStr">
        <is>
          <t>SERV-10659</t>
        </is>
      </c>
      <c r="B663" s="5" t="inlineStr">
        <is>
          <t>Professor da Educação Básica (40h)</t>
        </is>
      </c>
      <c r="C663" s="4" t="inlineStr">
        <is>
          <t>Efetivo Concursado</t>
        </is>
      </c>
      <c r="D663" s="4" t="inlineStr">
        <is>
          <t>SEC-EDU</t>
        </is>
      </c>
      <c r="E663" s="6" t="n">
        <v>5150.85</v>
      </c>
      <c r="F663" s="6">
        <f>E663*0.22</f>
        <v/>
      </c>
      <c r="G663" s="6">
        <f>E663+F663</f>
        <v/>
      </c>
      <c r="H663" s="10" t="n">
        <v>2</v>
      </c>
      <c r="I663" s="7">
        <f>H663/(180*0.714)</f>
        <v/>
      </c>
    </row>
    <row r="664">
      <c r="A664" s="4" t="inlineStr">
        <is>
          <t>SERV-10660</t>
        </is>
      </c>
      <c r="B664" s="5" t="inlineStr">
        <is>
          <t>Professor da Educação Básica (40h)</t>
        </is>
      </c>
      <c r="C664" s="4" t="inlineStr">
        <is>
          <t>Efetivo Concursado</t>
        </is>
      </c>
      <c r="D664" s="4" t="inlineStr">
        <is>
          <t>SEC-EDU</t>
        </is>
      </c>
      <c r="E664" s="6" t="n">
        <v>5365.24</v>
      </c>
      <c r="F664" s="6">
        <f>E664*0.22</f>
        <v/>
      </c>
      <c r="G664" s="6">
        <f>E664+F664</f>
        <v/>
      </c>
      <c r="H664" s="10" t="n">
        <v>6</v>
      </c>
      <c r="I664" s="7">
        <f>H664/(180*0.714)</f>
        <v/>
      </c>
    </row>
    <row r="665">
      <c r="A665" s="4" t="inlineStr">
        <is>
          <t>SERV-10661</t>
        </is>
      </c>
      <c r="B665" s="5" t="inlineStr">
        <is>
          <t>Professor da Educação Básica (40h)</t>
        </is>
      </c>
      <c r="C665" s="4" t="inlineStr">
        <is>
          <t>Efetivo Concursado</t>
        </is>
      </c>
      <c r="D665" s="4" t="inlineStr">
        <is>
          <t>SEC-EDU</t>
        </is>
      </c>
      <c r="E665" s="6" t="n">
        <v>5709.21</v>
      </c>
      <c r="F665" s="6">
        <f>E665*0.22</f>
        <v/>
      </c>
      <c r="G665" s="6">
        <f>E665+F665</f>
        <v/>
      </c>
      <c r="H665" s="10" t="n">
        <v>2</v>
      </c>
      <c r="I665" s="7">
        <f>H665/(180*0.714)</f>
        <v/>
      </c>
    </row>
    <row r="666">
      <c r="A666" s="4" t="inlineStr">
        <is>
          <t>SERV-10662</t>
        </is>
      </c>
      <c r="B666" s="5" t="inlineStr">
        <is>
          <t>Professor da Educação Básica (40h)</t>
        </is>
      </c>
      <c r="C666" s="4" t="inlineStr">
        <is>
          <t>Efetivo Concursado</t>
        </is>
      </c>
      <c r="D666" s="4" t="inlineStr">
        <is>
          <t>SEC-EDU</t>
        </is>
      </c>
      <c r="E666" s="6" t="n">
        <v>5415.32</v>
      </c>
      <c r="F666" s="6">
        <f>E666*0.22</f>
        <v/>
      </c>
      <c r="G666" s="6">
        <f>E666+F666</f>
        <v/>
      </c>
      <c r="H666" s="10" t="n">
        <v>2</v>
      </c>
      <c r="I666" s="7">
        <f>H666/(180*0.714)</f>
        <v/>
      </c>
    </row>
    <row r="667">
      <c r="A667" s="4" t="inlineStr">
        <is>
          <t>SERV-10663</t>
        </is>
      </c>
      <c r="B667" s="5" t="inlineStr">
        <is>
          <t>Professor da Educação Básica (40h)</t>
        </is>
      </c>
      <c r="C667" s="4" t="inlineStr">
        <is>
          <t>Efetivo Concursado</t>
        </is>
      </c>
      <c r="D667" s="4" t="inlineStr">
        <is>
          <t>SEC-EDU</t>
        </is>
      </c>
      <c r="E667" s="6" t="n">
        <v>5424.05</v>
      </c>
      <c r="F667" s="6">
        <f>E667*0.22</f>
        <v/>
      </c>
      <c r="G667" s="6">
        <f>E667+F667</f>
        <v/>
      </c>
      <c r="H667" s="10" t="n">
        <v>4</v>
      </c>
      <c r="I667" s="7">
        <f>H667/(180*0.714)</f>
        <v/>
      </c>
    </row>
    <row r="668">
      <c r="A668" s="4" t="inlineStr">
        <is>
          <t>SERV-10664</t>
        </is>
      </c>
      <c r="B668" s="5" t="inlineStr">
        <is>
          <t>Professor da Educação Básica (40h)</t>
        </is>
      </c>
      <c r="C668" s="4" t="inlineStr">
        <is>
          <t>Efetivo Concursado</t>
        </is>
      </c>
      <c r="D668" s="4" t="inlineStr">
        <is>
          <t>SEC-EDU</t>
        </is>
      </c>
      <c r="E668" s="6" t="n">
        <v>5034.68</v>
      </c>
      <c r="F668" s="6">
        <f>E668*0.22</f>
        <v/>
      </c>
      <c r="G668" s="6">
        <f>E668+F668</f>
        <v/>
      </c>
      <c r="H668" s="10" t="n">
        <v>4</v>
      </c>
      <c r="I668" s="7">
        <f>H668/(180*0.714)</f>
        <v/>
      </c>
    </row>
    <row r="669">
      <c r="A669" s="4" t="inlineStr">
        <is>
          <t>SERV-10665</t>
        </is>
      </c>
      <c r="B669" s="5" t="inlineStr">
        <is>
          <t>Professor da Educação Básica (40h)</t>
        </is>
      </c>
      <c r="C669" s="4" t="inlineStr">
        <is>
          <t>Efetivo Concursado</t>
        </is>
      </c>
      <c r="D669" s="4" t="inlineStr">
        <is>
          <t>SEC-EDU</t>
        </is>
      </c>
      <c r="E669" s="6" t="n">
        <v>5511.98</v>
      </c>
      <c r="F669" s="6">
        <f>E669*0.22</f>
        <v/>
      </c>
      <c r="G669" s="6">
        <f>E669+F669</f>
        <v/>
      </c>
      <c r="H669" s="10" t="n">
        <v>5</v>
      </c>
      <c r="I669" s="7">
        <f>H669/(180*0.714)</f>
        <v/>
      </c>
    </row>
    <row r="670">
      <c r="A670" s="4" t="inlineStr">
        <is>
          <t>SERV-10666</t>
        </is>
      </c>
      <c r="B670" s="5" t="inlineStr">
        <is>
          <t>Professor da Educação Básica (40h)</t>
        </is>
      </c>
      <c r="C670" s="4" t="inlineStr">
        <is>
          <t>Efetivo Concursado</t>
        </is>
      </c>
      <c r="D670" s="4" t="inlineStr">
        <is>
          <t>SEC-EDU</t>
        </is>
      </c>
      <c r="E670" s="6" t="n">
        <v>4820.35</v>
      </c>
      <c r="F670" s="6">
        <f>E670*0.22</f>
        <v/>
      </c>
      <c r="G670" s="6">
        <f>E670+F670</f>
        <v/>
      </c>
      <c r="H670" s="10" t="n">
        <v>6</v>
      </c>
      <c r="I670" s="7">
        <f>H670/(180*0.714)</f>
        <v/>
      </c>
    </row>
    <row r="671">
      <c r="A671" s="4" t="inlineStr">
        <is>
          <t>SERV-10667</t>
        </is>
      </c>
      <c r="B671" s="5" t="inlineStr">
        <is>
          <t>Professor da Educação Básica (40h)</t>
        </is>
      </c>
      <c r="C671" s="4" t="inlineStr">
        <is>
          <t>Efetivo Concursado</t>
        </is>
      </c>
      <c r="D671" s="4" t="inlineStr">
        <is>
          <t>SEC-EDU</t>
        </is>
      </c>
      <c r="E671" s="6" t="n">
        <v>5261.31</v>
      </c>
      <c r="F671" s="6">
        <f>E671*0.22</f>
        <v/>
      </c>
      <c r="G671" s="6">
        <f>E671+F671</f>
        <v/>
      </c>
      <c r="H671" s="10" t="n">
        <v>5</v>
      </c>
      <c r="I671" s="7">
        <f>H671/(180*0.714)</f>
        <v/>
      </c>
    </row>
    <row r="672">
      <c r="A672" s="4" t="inlineStr">
        <is>
          <t>SERV-10668</t>
        </is>
      </c>
      <c r="B672" s="5" t="inlineStr">
        <is>
          <t>Professor da Educação Básica (40h)</t>
        </is>
      </c>
      <c r="C672" s="4" t="inlineStr">
        <is>
          <t>Efetivo Concursado</t>
        </is>
      </c>
      <c r="D672" s="4" t="inlineStr">
        <is>
          <t>SEC-EDU</t>
        </is>
      </c>
      <c r="E672" s="6" t="n">
        <v>5581.69</v>
      </c>
      <c r="F672" s="6">
        <f>E672*0.22</f>
        <v/>
      </c>
      <c r="G672" s="6">
        <f>E672+F672</f>
        <v/>
      </c>
      <c r="H672" s="10" t="n">
        <v>5</v>
      </c>
      <c r="I672" s="7">
        <f>H672/(180*0.714)</f>
        <v/>
      </c>
    </row>
    <row r="673">
      <c r="A673" s="4" t="inlineStr">
        <is>
          <t>SERV-10669</t>
        </is>
      </c>
      <c r="B673" s="5" t="inlineStr">
        <is>
          <t>Professor da Educação Básica (40h)</t>
        </is>
      </c>
      <c r="C673" s="4" t="inlineStr">
        <is>
          <t>Efetivo Concursado</t>
        </is>
      </c>
      <c r="D673" s="4" t="inlineStr">
        <is>
          <t>SEC-EDU</t>
        </is>
      </c>
      <c r="E673" s="6" t="n">
        <v>4938.54</v>
      </c>
      <c r="F673" s="6">
        <f>E673*0.22</f>
        <v/>
      </c>
      <c r="G673" s="6">
        <f>E673+F673</f>
        <v/>
      </c>
      <c r="H673" s="10" t="n">
        <v>6</v>
      </c>
      <c r="I673" s="7">
        <f>H673/(180*0.714)</f>
        <v/>
      </c>
    </row>
    <row r="674">
      <c r="A674" s="4" t="inlineStr">
        <is>
          <t>SERV-10670</t>
        </is>
      </c>
      <c r="B674" s="5" t="inlineStr">
        <is>
          <t>Professor da Educação Básica (40h)</t>
        </is>
      </c>
      <c r="C674" s="4" t="inlineStr">
        <is>
          <t>Efetivo Concursado</t>
        </is>
      </c>
      <c r="D674" s="4" t="inlineStr">
        <is>
          <t>SEC-EDU</t>
        </is>
      </c>
      <c r="E674" s="6" t="n">
        <v>5667.76</v>
      </c>
      <c r="F674" s="6">
        <f>E674*0.22</f>
        <v/>
      </c>
      <c r="G674" s="6">
        <f>E674+F674</f>
        <v/>
      </c>
      <c r="H674" s="10" t="n">
        <v>7</v>
      </c>
      <c r="I674" s="7">
        <f>H674/(180*0.714)</f>
        <v/>
      </c>
    </row>
    <row r="675">
      <c r="A675" s="4" t="inlineStr">
        <is>
          <t>SERV-10671</t>
        </is>
      </c>
      <c r="B675" s="5" t="inlineStr">
        <is>
          <t>Professor da Educação Básica (40h)</t>
        </is>
      </c>
      <c r="C675" s="4" t="inlineStr">
        <is>
          <t>Efetivo Concursado</t>
        </is>
      </c>
      <c r="D675" s="4" t="inlineStr">
        <is>
          <t>SEC-EDU</t>
        </is>
      </c>
      <c r="E675" s="6" t="n">
        <v>5439.41</v>
      </c>
      <c r="F675" s="6">
        <f>E675*0.22</f>
        <v/>
      </c>
      <c r="G675" s="6">
        <f>E675+F675</f>
        <v/>
      </c>
      <c r="H675" s="10" t="n">
        <v>2</v>
      </c>
      <c r="I675" s="7">
        <f>H675/(180*0.714)</f>
        <v/>
      </c>
    </row>
    <row r="676">
      <c r="A676" s="4" t="inlineStr">
        <is>
          <t>SERV-10672</t>
        </is>
      </c>
      <c r="B676" s="5" t="inlineStr">
        <is>
          <t>Professor da Educação Básica (40h)</t>
        </is>
      </c>
      <c r="C676" s="4" t="inlineStr">
        <is>
          <t>Efetivo Concursado</t>
        </is>
      </c>
      <c r="D676" s="4" t="inlineStr">
        <is>
          <t>SEC-EDU</t>
        </is>
      </c>
      <c r="E676" s="6" t="n">
        <v>5144.77</v>
      </c>
      <c r="F676" s="6">
        <f>E676*0.22</f>
        <v/>
      </c>
      <c r="G676" s="6">
        <f>E676+F676</f>
        <v/>
      </c>
      <c r="H676" s="10" t="n">
        <v>7</v>
      </c>
      <c r="I676" s="7">
        <f>H676/(180*0.714)</f>
        <v/>
      </c>
    </row>
    <row r="677">
      <c r="A677" s="4" t="inlineStr">
        <is>
          <t>SERV-10673</t>
        </is>
      </c>
      <c r="B677" s="5" t="inlineStr">
        <is>
          <t>Professor da Educação Básica (40h)</t>
        </is>
      </c>
      <c r="C677" s="4" t="inlineStr">
        <is>
          <t>Efetivo Concursado</t>
        </is>
      </c>
      <c r="D677" s="4" t="inlineStr">
        <is>
          <t>SEC-EDU</t>
        </is>
      </c>
      <c r="E677" s="6" t="n">
        <v>4874.28</v>
      </c>
      <c r="F677" s="6">
        <f>E677*0.22</f>
        <v/>
      </c>
      <c r="G677" s="6">
        <f>E677+F677</f>
        <v/>
      </c>
      <c r="H677" s="10" t="n">
        <v>2</v>
      </c>
      <c r="I677" s="7">
        <f>H677/(180*0.714)</f>
        <v/>
      </c>
    </row>
    <row r="678">
      <c r="A678" s="4" t="inlineStr">
        <is>
          <t>SERV-10674</t>
        </is>
      </c>
      <c r="B678" s="5" t="inlineStr">
        <is>
          <t>Professor da Educação Básica (40h)</t>
        </is>
      </c>
      <c r="C678" s="4" t="inlineStr">
        <is>
          <t>Efetivo Concursado</t>
        </is>
      </c>
      <c r="D678" s="4" t="inlineStr">
        <is>
          <t>SEC-EDU</t>
        </is>
      </c>
      <c r="E678" s="6" t="n">
        <v>5264.18</v>
      </c>
      <c r="F678" s="6">
        <f>E678*0.22</f>
        <v/>
      </c>
      <c r="G678" s="6">
        <f>E678+F678</f>
        <v/>
      </c>
      <c r="H678" s="10" t="n">
        <v>3</v>
      </c>
      <c r="I678" s="7">
        <f>H678/(180*0.714)</f>
        <v/>
      </c>
    </row>
    <row r="679">
      <c r="A679" s="4" t="inlineStr">
        <is>
          <t>SERV-10675</t>
        </is>
      </c>
      <c r="B679" s="5" t="inlineStr">
        <is>
          <t>Professor da Educação Básica (40h)</t>
        </is>
      </c>
      <c r="C679" s="4" t="inlineStr">
        <is>
          <t>Efetivo Concursado</t>
        </is>
      </c>
      <c r="D679" s="4" t="inlineStr">
        <is>
          <t>SEC-EDU</t>
        </is>
      </c>
      <c r="E679" s="6" t="n">
        <v>5345.75</v>
      </c>
      <c r="F679" s="6">
        <f>E679*0.22</f>
        <v/>
      </c>
      <c r="G679" s="6">
        <f>E679+F679</f>
        <v/>
      </c>
      <c r="H679" s="10" t="n">
        <v>7</v>
      </c>
      <c r="I679" s="7">
        <f>H679/(180*0.714)</f>
        <v/>
      </c>
    </row>
    <row r="680">
      <c r="A680" s="4" t="inlineStr">
        <is>
          <t>SERV-10676</t>
        </is>
      </c>
      <c r="B680" s="5" t="inlineStr">
        <is>
          <t>Professor da Educação Básica (40h)</t>
        </is>
      </c>
      <c r="C680" s="4" t="inlineStr">
        <is>
          <t>Efetivo Concursado</t>
        </is>
      </c>
      <c r="D680" s="4" t="inlineStr">
        <is>
          <t>SEC-EDU</t>
        </is>
      </c>
      <c r="E680" s="6" t="n">
        <v>5289.32</v>
      </c>
      <c r="F680" s="6">
        <f>E680*0.22</f>
        <v/>
      </c>
      <c r="G680" s="6">
        <f>E680+F680</f>
        <v/>
      </c>
      <c r="H680" s="10" t="n">
        <v>5</v>
      </c>
      <c r="I680" s="7">
        <f>H680/(180*0.714)</f>
        <v/>
      </c>
    </row>
    <row r="681">
      <c r="A681" s="4" t="inlineStr">
        <is>
          <t>SERV-10677</t>
        </is>
      </c>
      <c r="B681" s="5" t="inlineStr">
        <is>
          <t>Professor da Educação Básica (40h)</t>
        </is>
      </c>
      <c r="C681" s="4" t="inlineStr">
        <is>
          <t>Efetivo Concursado</t>
        </is>
      </c>
      <c r="D681" s="4" t="inlineStr">
        <is>
          <t>SEC-EDU</t>
        </is>
      </c>
      <c r="E681" s="6" t="n">
        <v>4886.63</v>
      </c>
      <c r="F681" s="6">
        <f>E681*0.22</f>
        <v/>
      </c>
      <c r="G681" s="6">
        <f>E681+F681</f>
        <v/>
      </c>
      <c r="H681" s="10" t="n">
        <v>4</v>
      </c>
      <c r="I681" s="7">
        <f>H681/(180*0.714)</f>
        <v/>
      </c>
    </row>
    <row r="682">
      <c r="A682" s="4" t="inlineStr">
        <is>
          <t>SERV-10678</t>
        </is>
      </c>
      <c r="B682" s="5" t="inlineStr">
        <is>
          <t>Professor da Educação Básica (40h)</t>
        </is>
      </c>
      <c r="C682" s="4" t="inlineStr">
        <is>
          <t>Efetivo Concursado</t>
        </is>
      </c>
      <c r="D682" s="4" t="inlineStr">
        <is>
          <t>SEC-EDU</t>
        </is>
      </c>
      <c r="E682" s="6" t="n">
        <v>5442.73</v>
      </c>
      <c r="F682" s="6">
        <f>E682*0.22</f>
        <v/>
      </c>
      <c r="G682" s="6">
        <f>E682+F682</f>
        <v/>
      </c>
      <c r="H682" s="10" t="n">
        <v>5</v>
      </c>
      <c r="I682" s="7">
        <f>H682/(180*0.714)</f>
        <v/>
      </c>
    </row>
    <row r="683">
      <c r="A683" s="4" t="inlineStr">
        <is>
          <t>SERV-10679</t>
        </is>
      </c>
      <c r="B683" s="5" t="inlineStr">
        <is>
          <t>Professor da Educação Básica (40h)</t>
        </is>
      </c>
      <c r="C683" s="4" t="inlineStr">
        <is>
          <t>Efetivo Concursado</t>
        </is>
      </c>
      <c r="D683" s="4" t="inlineStr">
        <is>
          <t>SEC-EDU</t>
        </is>
      </c>
      <c r="E683" s="6" t="n">
        <v>5073.68</v>
      </c>
      <c r="F683" s="6">
        <f>E683*0.22</f>
        <v/>
      </c>
      <c r="G683" s="6">
        <f>E683+F683</f>
        <v/>
      </c>
      <c r="H683" s="10" t="n">
        <v>6</v>
      </c>
      <c r="I683" s="7">
        <f>H683/(180*0.714)</f>
        <v/>
      </c>
    </row>
    <row r="684">
      <c r="A684" s="4" t="inlineStr">
        <is>
          <t>SERV-10680</t>
        </is>
      </c>
      <c r="B684" s="5" t="inlineStr">
        <is>
          <t>Professor da Educação Básica (40h)</t>
        </is>
      </c>
      <c r="C684" s="4" t="inlineStr">
        <is>
          <t>Efetivo Concursado</t>
        </is>
      </c>
      <c r="D684" s="4" t="inlineStr">
        <is>
          <t>SEC-EDU</t>
        </is>
      </c>
      <c r="E684" s="6" t="n">
        <v>5359.55</v>
      </c>
      <c r="F684" s="6">
        <f>E684*0.22</f>
        <v/>
      </c>
      <c r="G684" s="6">
        <f>E684+F684</f>
        <v/>
      </c>
      <c r="H684" s="10" t="n">
        <v>2</v>
      </c>
      <c r="I684" s="7">
        <f>H684/(180*0.714)</f>
        <v/>
      </c>
    </row>
    <row r="685">
      <c r="A685" s="4" t="inlineStr">
        <is>
          <t>SERV-10681</t>
        </is>
      </c>
      <c r="B685" s="5" t="inlineStr">
        <is>
          <t>Professor da Educação Básica (40h)</t>
        </is>
      </c>
      <c r="C685" s="4" t="inlineStr">
        <is>
          <t>Efetivo Concursado</t>
        </is>
      </c>
      <c r="D685" s="4" t="inlineStr">
        <is>
          <t>SEC-EDU</t>
        </is>
      </c>
      <c r="E685" s="6" t="n">
        <v>5719.46</v>
      </c>
      <c r="F685" s="6">
        <f>E685*0.22</f>
        <v/>
      </c>
      <c r="G685" s="6">
        <f>E685+F685</f>
        <v/>
      </c>
      <c r="H685" s="10" t="n">
        <v>6</v>
      </c>
      <c r="I685" s="7">
        <f>H685/(180*0.714)</f>
        <v/>
      </c>
    </row>
    <row r="686">
      <c r="A686" s="4" t="inlineStr">
        <is>
          <t>SERV-10682</t>
        </is>
      </c>
      <c r="B686" s="5" t="inlineStr">
        <is>
          <t>Professor da Educação Básica (40h)</t>
        </is>
      </c>
      <c r="C686" s="4" t="inlineStr">
        <is>
          <t>Efetivo Concursado</t>
        </is>
      </c>
      <c r="D686" s="4" t="inlineStr">
        <is>
          <t>SEC-EDU</t>
        </is>
      </c>
      <c r="E686" s="6" t="n">
        <v>5507.45</v>
      </c>
      <c r="F686" s="6">
        <f>E686*0.22</f>
        <v/>
      </c>
      <c r="G686" s="6">
        <f>E686+F686</f>
        <v/>
      </c>
      <c r="H686" s="10" t="n">
        <v>2</v>
      </c>
      <c r="I686" s="7">
        <f>H686/(180*0.714)</f>
        <v/>
      </c>
    </row>
    <row r="687">
      <c r="A687" s="4" t="inlineStr">
        <is>
          <t>SERV-10683</t>
        </is>
      </c>
      <c r="B687" s="5" t="inlineStr">
        <is>
          <t>Professor da Educação Básica (40h)</t>
        </is>
      </c>
      <c r="C687" s="4" t="inlineStr">
        <is>
          <t>Efetivo Concursado</t>
        </is>
      </c>
      <c r="D687" s="4" t="inlineStr">
        <is>
          <t>SEC-EDU</t>
        </is>
      </c>
      <c r="E687" s="6" t="n">
        <v>5805.38</v>
      </c>
      <c r="F687" s="6">
        <f>E687*0.22</f>
        <v/>
      </c>
      <c r="G687" s="6">
        <f>E687+F687</f>
        <v/>
      </c>
      <c r="H687" s="10" t="n">
        <v>5</v>
      </c>
      <c r="I687" s="7">
        <f>H687/(180*0.714)</f>
        <v/>
      </c>
    </row>
    <row r="688">
      <c r="A688" s="4" t="inlineStr">
        <is>
          <t>SERV-10684</t>
        </is>
      </c>
      <c r="B688" s="5" t="inlineStr">
        <is>
          <t>Professor da Educação Básica (40h)</t>
        </is>
      </c>
      <c r="C688" s="4" t="inlineStr">
        <is>
          <t>Efetivo Concursado</t>
        </is>
      </c>
      <c r="D688" s="4" t="inlineStr">
        <is>
          <t>SEC-EDU</t>
        </is>
      </c>
      <c r="E688" s="6" t="n">
        <v>5638.71</v>
      </c>
      <c r="F688" s="6">
        <f>E688*0.22</f>
        <v/>
      </c>
      <c r="G688" s="6">
        <f>E688+F688</f>
        <v/>
      </c>
      <c r="H688" s="10" t="n">
        <v>5</v>
      </c>
      <c r="I688" s="7">
        <f>H688/(180*0.714)</f>
        <v/>
      </c>
    </row>
    <row r="689">
      <c r="A689" s="4" t="inlineStr">
        <is>
          <t>SERV-10685</t>
        </is>
      </c>
      <c r="B689" s="5" t="inlineStr">
        <is>
          <t>Professor da Educação Básica (40h)</t>
        </is>
      </c>
      <c r="C689" s="4" t="inlineStr">
        <is>
          <t>Efetivo Concursado</t>
        </is>
      </c>
      <c r="D689" s="4" t="inlineStr">
        <is>
          <t>SEC-EDU</t>
        </is>
      </c>
      <c r="E689" s="6" t="n">
        <v>5078.27</v>
      </c>
      <c r="F689" s="6">
        <f>E689*0.22</f>
        <v/>
      </c>
      <c r="G689" s="6">
        <f>E689+F689</f>
        <v/>
      </c>
      <c r="H689" s="10" t="n">
        <v>5</v>
      </c>
      <c r="I689" s="7">
        <f>H689/(180*0.714)</f>
        <v/>
      </c>
    </row>
    <row r="690">
      <c r="A690" s="4" t="inlineStr">
        <is>
          <t>SERV-10686</t>
        </is>
      </c>
      <c r="B690" s="5" t="inlineStr">
        <is>
          <t>Professor da Educação Básica (40h)</t>
        </is>
      </c>
      <c r="C690" s="4" t="inlineStr">
        <is>
          <t>Efetivo Concursado</t>
        </is>
      </c>
      <c r="D690" s="4" t="inlineStr">
        <is>
          <t>SEC-EDU</t>
        </is>
      </c>
      <c r="E690" s="6" t="n">
        <v>5402.11</v>
      </c>
      <c r="F690" s="6">
        <f>E690*0.22</f>
        <v/>
      </c>
      <c r="G690" s="6">
        <f>E690+F690</f>
        <v/>
      </c>
      <c r="H690" s="10" t="n">
        <v>3</v>
      </c>
      <c r="I690" s="7">
        <f>H690/(180*0.714)</f>
        <v/>
      </c>
    </row>
    <row r="691">
      <c r="A691" s="4" t="inlineStr">
        <is>
          <t>SERV-10687</t>
        </is>
      </c>
      <c r="B691" s="5" t="inlineStr">
        <is>
          <t>Professor da Educação Básica (40h)</t>
        </is>
      </c>
      <c r="C691" s="4" t="inlineStr">
        <is>
          <t>Efetivo Concursado</t>
        </is>
      </c>
      <c r="D691" s="4" t="inlineStr">
        <is>
          <t>SEC-EDU</t>
        </is>
      </c>
      <c r="E691" s="6" t="n">
        <v>4884.32</v>
      </c>
      <c r="F691" s="6">
        <f>E691*0.22</f>
        <v/>
      </c>
      <c r="G691" s="6">
        <f>E691+F691</f>
        <v/>
      </c>
      <c r="H691" s="10" t="n">
        <v>6</v>
      </c>
      <c r="I691" s="7">
        <f>H691/(180*0.714)</f>
        <v/>
      </c>
    </row>
    <row r="692">
      <c r="A692" s="4" t="inlineStr">
        <is>
          <t>SERV-10688</t>
        </is>
      </c>
      <c r="B692" s="5" t="inlineStr">
        <is>
          <t>Professor da Educação Básica (40h)</t>
        </is>
      </c>
      <c r="C692" s="4" t="inlineStr">
        <is>
          <t>Efetivo Concursado</t>
        </is>
      </c>
      <c r="D692" s="4" t="inlineStr">
        <is>
          <t>SEC-EDU</t>
        </is>
      </c>
      <c r="E692" s="6" t="n">
        <v>5592.99</v>
      </c>
      <c r="F692" s="6">
        <f>E692*0.22</f>
        <v/>
      </c>
      <c r="G692" s="6">
        <f>E692+F692</f>
        <v/>
      </c>
      <c r="H692" s="10" t="n">
        <v>7</v>
      </c>
      <c r="I692" s="7">
        <f>H692/(180*0.714)</f>
        <v/>
      </c>
    </row>
    <row r="693">
      <c r="A693" s="4" t="inlineStr">
        <is>
          <t>SERV-10689</t>
        </is>
      </c>
      <c r="B693" s="5" t="inlineStr">
        <is>
          <t>Professor da Educação Básica (40h)</t>
        </is>
      </c>
      <c r="C693" s="4" t="inlineStr">
        <is>
          <t>Efetivo Concursado</t>
        </is>
      </c>
      <c r="D693" s="4" t="inlineStr">
        <is>
          <t>SEC-EDU</t>
        </is>
      </c>
      <c r="E693" s="6" t="n">
        <v>5521.85</v>
      </c>
      <c r="F693" s="6">
        <f>E693*0.22</f>
        <v/>
      </c>
      <c r="G693" s="6">
        <f>E693+F693</f>
        <v/>
      </c>
      <c r="H693" s="10" t="n">
        <v>5</v>
      </c>
      <c r="I693" s="7">
        <f>H693/(180*0.714)</f>
        <v/>
      </c>
    </row>
    <row r="694">
      <c r="A694" s="4" t="inlineStr">
        <is>
          <t>SERV-10690</t>
        </is>
      </c>
      <c r="B694" s="5" t="inlineStr">
        <is>
          <t>Professor da Educação Básica (40h)</t>
        </is>
      </c>
      <c r="C694" s="4" t="inlineStr">
        <is>
          <t>Efetivo Concursado</t>
        </is>
      </c>
      <c r="D694" s="4" t="inlineStr">
        <is>
          <t>SEC-EDU</t>
        </is>
      </c>
      <c r="E694" s="6" t="n">
        <v>5028.25</v>
      </c>
      <c r="F694" s="6">
        <f>E694*0.22</f>
        <v/>
      </c>
      <c r="G694" s="6">
        <f>E694+F694</f>
        <v/>
      </c>
      <c r="H694" s="10" t="n">
        <v>4</v>
      </c>
      <c r="I694" s="7">
        <f>H694/(180*0.714)</f>
        <v/>
      </c>
    </row>
    <row r="695">
      <c r="A695" s="4" t="inlineStr">
        <is>
          <t>SERV-10691</t>
        </is>
      </c>
      <c r="B695" s="5" t="inlineStr">
        <is>
          <t>Professor da Educação Básica (40h)</t>
        </is>
      </c>
      <c r="C695" s="4" t="inlineStr">
        <is>
          <t>Efetivo Concursado</t>
        </is>
      </c>
      <c r="D695" s="4" t="inlineStr">
        <is>
          <t>SEC-EDU</t>
        </is>
      </c>
      <c r="E695" s="6" t="n">
        <v>5744.48</v>
      </c>
      <c r="F695" s="6">
        <f>E695*0.22</f>
        <v/>
      </c>
      <c r="G695" s="6">
        <f>E695+F695</f>
        <v/>
      </c>
      <c r="H695" s="10" t="n">
        <v>6</v>
      </c>
      <c r="I695" s="7">
        <f>H695/(180*0.714)</f>
        <v/>
      </c>
    </row>
    <row r="696">
      <c r="A696" s="4" t="inlineStr">
        <is>
          <t>SERV-10692</t>
        </is>
      </c>
      <c r="B696" s="5" t="inlineStr">
        <is>
          <t>Professor da Educação Básica (40h)</t>
        </is>
      </c>
      <c r="C696" s="4" t="inlineStr">
        <is>
          <t>Efetivo Concursado</t>
        </is>
      </c>
      <c r="D696" s="4" t="inlineStr">
        <is>
          <t>SEC-EDU</t>
        </is>
      </c>
      <c r="E696" s="6" t="n">
        <v>4858.13</v>
      </c>
      <c r="F696" s="6">
        <f>E696*0.22</f>
        <v/>
      </c>
      <c r="G696" s="6">
        <f>E696+F696</f>
        <v/>
      </c>
      <c r="H696" s="10" t="n">
        <v>7</v>
      </c>
      <c r="I696" s="7">
        <f>H696/(180*0.714)</f>
        <v/>
      </c>
    </row>
    <row r="697">
      <c r="A697" s="4" t="inlineStr">
        <is>
          <t>SERV-10693</t>
        </is>
      </c>
      <c r="B697" s="5" t="inlineStr">
        <is>
          <t>Professor da Educação Básica (40h)</t>
        </is>
      </c>
      <c r="C697" s="4" t="inlineStr">
        <is>
          <t>Efetivo Concursado</t>
        </is>
      </c>
      <c r="D697" s="4" t="inlineStr">
        <is>
          <t>SEC-EDU</t>
        </is>
      </c>
      <c r="E697" s="6" t="n">
        <v>5634.14</v>
      </c>
      <c r="F697" s="6">
        <f>E697*0.22</f>
        <v/>
      </c>
      <c r="G697" s="6">
        <f>E697+F697</f>
        <v/>
      </c>
      <c r="H697" s="10" t="n">
        <v>7</v>
      </c>
      <c r="I697" s="7">
        <f>H697/(180*0.714)</f>
        <v/>
      </c>
    </row>
    <row r="698">
      <c r="A698" s="4" t="inlineStr">
        <is>
          <t>SERV-10694</t>
        </is>
      </c>
      <c r="B698" s="5" t="inlineStr">
        <is>
          <t>Professor da Educação Básica (40h)</t>
        </is>
      </c>
      <c r="C698" s="4" t="inlineStr">
        <is>
          <t>Efetivo Concursado</t>
        </is>
      </c>
      <c r="D698" s="4" t="inlineStr">
        <is>
          <t>SEC-EDU</t>
        </is>
      </c>
      <c r="E698" s="6" t="n">
        <v>5225.82</v>
      </c>
      <c r="F698" s="6">
        <f>E698*0.22</f>
        <v/>
      </c>
      <c r="G698" s="6">
        <f>E698+F698</f>
        <v/>
      </c>
      <c r="H698" s="10" t="n">
        <v>7</v>
      </c>
      <c r="I698" s="7">
        <f>H698/(180*0.714)</f>
        <v/>
      </c>
    </row>
    <row r="699">
      <c r="A699" s="4" t="inlineStr">
        <is>
          <t>SERV-10695</t>
        </is>
      </c>
      <c r="B699" s="5" t="inlineStr">
        <is>
          <t>Professor da Educação Básica (40h)</t>
        </is>
      </c>
      <c r="C699" s="4" t="inlineStr">
        <is>
          <t>Efetivo Concursado</t>
        </is>
      </c>
      <c r="D699" s="4" t="inlineStr">
        <is>
          <t>SEC-EDU</t>
        </is>
      </c>
      <c r="E699" s="6" t="n">
        <v>5681.7</v>
      </c>
      <c r="F699" s="6">
        <f>E699*0.22</f>
        <v/>
      </c>
      <c r="G699" s="6">
        <f>E699+F699</f>
        <v/>
      </c>
      <c r="H699" s="10" t="n">
        <v>5</v>
      </c>
      <c r="I699" s="7">
        <f>H699/(180*0.714)</f>
        <v/>
      </c>
    </row>
    <row r="700">
      <c r="A700" s="4" t="inlineStr">
        <is>
          <t>SERV-10696</t>
        </is>
      </c>
      <c r="B700" s="5" t="inlineStr">
        <is>
          <t>Professor da Educação Básica (40h)</t>
        </is>
      </c>
      <c r="C700" s="4" t="inlineStr">
        <is>
          <t>Efetivo Concursado</t>
        </is>
      </c>
      <c r="D700" s="4" t="inlineStr">
        <is>
          <t>SEC-EDU</t>
        </is>
      </c>
      <c r="E700" s="6" t="n">
        <v>5374.87</v>
      </c>
      <c r="F700" s="6">
        <f>E700*0.22</f>
        <v/>
      </c>
      <c r="G700" s="6">
        <f>E700+F700</f>
        <v/>
      </c>
      <c r="H700" s="10" t="n">
        <v>7</v>
      </c>
      <c r="I700" s="7">
        <f>H700/(180*0.714)</f>
        <v/>
      </c>
    </row>
    <row r="701">
      <c r="A701" s="4" t="inlineStr">
        <is>
          <t>SERV-10697</t>
        </is>
      </c>
      <c r="B701" s="5" t="inlineStr">
        <is>
          <t>Professor da Educação Básica (40h)</t>
        </is>
      </c>
      <c r="C701" s="4" t="inlineStr">
        <is>
          <t>Efetivo Concursado</t>
        </is>
      </c>
      <c r="D701" s="4" t="inlineStr">
        <is>
          <t>SEC-EDU</t>
        </is>
      </c>
      <c r="E701" s="6" t="n">
        <v>5413.78</v>
      </c>
      <c r="F701" s="6">
        <f>E701*0.22</f>
        <v/>
      </c>
      <c r="G701" s="6">
        <f>E701+F701</f>
        <v/>
      </c>
      <c r="H701" s="10" t="n">
        <v>3</v>
      </c>
      <c r="I701" s="7">
        <f>H701/(180*0.714)</f>
        <v/>
      </c>
    </row>
    <row r="702">
      <c r="A702" s="4" t="inlineStr">
        <is>
          <t>SERV-10698</t>
        </is>
      </c>
      <c r="B702" s="5" t="inlineStr">
        <is>
          <t>Professor da Educação Básica (40h)</t>
        </is>
      </c>
      <c r="C702" s="4" t="inlineStr">
        <is>
          <t>Efetivo Concursado</t>
        </is>
      </c>
      <c r="D702" s="4" t="inlineStr">
        <is>
          <t>SEC-EDU</t>
        </is>
      </c>
      <c r="E702" s="6" t="n">
        <v>5705.89</v>
      </c>
      <c r="F702" s="6">
        <f>E702*0.22</f>
        <v/>
      </c>
      <c r="G702" s="6">
        <f>E702+F702</f>
        <v/>
      </c>
      <c r="H702" s="10" t="n">
        <v>5</v>
      </c>
      <c r="I702" s="7">
        <f>H702/(180*0.714)</f>
        <v/>
      </c>
    </row>
    <row r="703">
      <c r="A703" s="4" t="inlineStr">
        <is>
          <t>SERV-10699</t>
        </is>
      </c>
      <c r="B703" s="5" t="inlineStr">
        <is>
          <t>Professor da Educação Básica (40h)</t>
        </is>
      </c>
      <c r="C703" s="4" t="inlineStr">
        <is>
          <t>Efetivo Concursado</t>
        </is>
      </c>
      <c r="D703" s="4" t="inlineStr">
        <is>
          <t>SEC-EDU</t>
        </is>
      </c>
      <c r="E703" s="6" t="n">
        <v>5197.87</v>
      </c>
      <c r="F703" s="6">
        <f>E703*0.22</f>
        <v/>
      </c>
      <c r="G703" s="6">
        <f>E703+F703</f>
        <v/>
      </c>
      <c r="H703" s="10" t="n">
        <v>5</v>
      </c>
      <c r="I703" s="7">
        <f>H703/(180*0.714)</f>
        <v/>
      </c>
    </row>
    <row r="704">
      <c r="A704" s="4" t="inlineStr">
        <is>
          <t>SERV-10700</t>
        </is>
      </c>
      <c r="B704" s="5" t="inlineStr">
        <is>
          <t>Professor da Educação Básica (40h)</t>
        </is>
      </c>
      <c r="C704" s="4" t="inlineStr">
        <is>
          <t>Efetivo Concursado</t>
        </is>
      </c>
      <c r="D704" s="4" t="inlineStr">
        <is>
          <t>SEC-EDU</t>
        </is>
      </c>
      <c r="E704" s="6" t="n">
        <v>5201.41</v>
      </c>
      <c r="F704" s="6">
        <f>E704*0.22</f>
        <v/>
      </c>
      <c r="G704" s="6">
        <f>E704+F704</f>
        <v/>
      </c>
      <c r="H704" s="10" t="n">
        <v>4</v>
      </c>
      <c r="I704" s="7">
        <f>H704/(180*0.714)</f>
        <v/>
      </c>
    </row>
    <row r="705">
      <c r="A705" s="4" t="inlineStr">
        <is>
          <t>SERV-10701</t>
        </is>
      </c>
      <c r="B705" s="5" t="inlineStr">
        <is>
          <t>Professor da Educação Básica (40h)</t>
        </is>
      </c>
      <c r="C705" s="4" t="inlineStr">
        <is>
          <t>Efetivo Concursado</t>
        </is>
      </c>
      <c r="D705" s="4" t="inlineStr">
        <is>
          <t>SEC-EDU</t>
        </is>
      </c>
      <c r="E705" s="6" t="n">
        <v>5374.35</v>
      </c>
      <c r="F705" s="6">
        <f>E705*0.22</f>
        <v/>
      </c>
      <c r="G705" s="6">
        <f>E705+F705</f>
        <v/>
      </c>
      <c r="H705" s="10" t="n">
        <v>3</v>
      </c>
      <c r="I705" s="7">
        <f>H705/(180*0.714)</f>
        <v/>
      </c>
    </row>
    <row r="706">
      <c r="A706" s="4" t="inlineStr">
        <is>
          <t>SERV-10702</t>
        </is>
      </c>
      <c r="B706" s="5" t="inlineStr">
        <is>
          <t>Professor da Educação Básica (40h)</t>
        </is>
      </c>
      <c r="C706" s="4" t="inlineStr">
        <is>
          <t>Efetivo Concursado</t>
        </is>
      </c>
      <c r="D706" s="4" t="inlineStr">
        <is>
          <t>SEC-EDU</t>
        </is>
      </c>
      <c r="E706" s="6" t="n">
        <v>5428.08</v>
      </c>
      <c r="F706" s="6">
        <f>E706*0.22</f>
        <v/>
      </c>
      <c r="G706" s="6">
        <f>E706+F706</f>
        <v/>
      </c>
      <c r="H706" s="10" t="n">
        <v>5</v>
      </c>
      <c r="I706" s="7">
        <f>H706/(180*0.714)</f>
        <v/>
      </c>
    </row>
    <row r="707">
      <c r="A707" s="4" t="inlineStr">
        <is>
          <t>SERV-10703</t>
        </is>
      </c>
      <c r="B707" s="5" t="inlineStr">
        <is>
          <t>Professor da Educação Básica (40h)</t>
        </is>
      </c>
      <c r="C707" s="4" t="inlineStr">
        <is>
          <t>Efetivo Concursado</t>
        </is>
      </c>
      <c r="D707" s="4" t="inlineStr">
        <is>
          <t>SEC-EDU</t>
        </is>
      </c>
      <c r="E707" s="6" t="n">
        <v>5260.14</v>
      </c>
      <c r="F707" s="6">
        <f>E707*0.22</f>
        <v/>
      </c>
      <c r="G707" s="6">
        <f>E707+F707</f>
        <v/>
      </c>
      <c r="H707" s="10" t="n">
        <v>5</v>
      </c>
      <c r="I707" s="7">
        <f>H707/(180*0.714)</f>
        <v/>
      </c>
    </row>
    <row r="708">
      <c r="A708" s="4" t="inlineStr">
        <is>
          <t>SERV-10704</t>
        </is>
      </c>
      <c r="B708" s="5" t="inlineStr">
        <is>
          <t>Professor da Educação Básica (40h)</t>
        </is>
      </c>
      <c r="C708" s="4" t="inlineStr">
        <is>
          <t>Efetivo Concursado</t>
        </is>
      </c>
      <c r="D708" s="4" t="inlineStr">
        <is>
          <t>SEC-EDU</t>
        </is>
      </c>
      <c r="E708" s="6" t="n">
        <v>5637.13</v>
      </c>
      <c r="F708" s="6">
        <f>E708*0.22</f>
        <v/>
      </c>
      <c r="G708" s="6">
        <f>E708+F708</f>
        <v/>
      </c>
      <c r="H708" s="10" t="n">
        <v>2</v>
      </c>
      <c r="I708" s="7">
        <f>H708/(180*0.714)</f>
        <v/>
      </c>
    </row>
    <row r="709">
      <c r="A709" s="4" t="inlineStr">
        <is>
          <t>SERV-10705</t>
        </is>
      </c>
      <c r="B709" s="5" t="inlineStr">
        <is>
          <t>Professor da Educação Básica (40h)</t>
        </is>
      </c>
      <c r="C709" s="4" t="inlineStr">
        <is>
          <t>Efetivo Concursado</t>
        </is>
      </c>
      <c r="D709" s="4" t="inlineStr">
        <is>
          <t>SEC-EDU</t>
        </is>
      </c>
      <c r="E709" s="6" t="n">
        <v>5792.65</v>
      </c>
      <c r="F709" s="6">
        <f>E709*0.22</f>
        <v/>
      </c>
      <c r="G709" s="6">
        <f>E709+F709</f>
        <v/>
      </c>
      <c r="H709" s="10" t="n">
        <v>4</v>
      </c>
      <c r="I709" s="7">
        <f>H709/(180*0.714)</f>
        <v/>
      </c>
    </row>
    <row r="710">
      <c r="A710" s="4" t="inlineStr">
        <is>
          <t>SERV-10706</t>
        </is>
      </c>
      <c r="B710" s="5" t="inlineStr">
        <is>
          <t>Professor da Educação Básica (40h)</t>
        </is>
      </c>
      <c r="C710" s="4" t="inlineStr">
        <is>
          <t>Efetivo Concursado</t>
        </is>
      </c>
      <c r="D710" s="4" t="inlineStr">
        <is>
          <t>SEC-EDU</t>
        </is>
      </c>
      <c r="E710" s="6" t="n">
        <v>5801.59</v>
      </c>
      <c r="F710" s="6">
        <f>E710*0.22</f>
        <v/>
      </c>
      <c r="G710" s="6">
        <f>E710+F710</f>
        <v/>
      </c>
      <c r="H710" s="10" t="n">
        <v>3</v>
      </c>
      <c r="I710" s="7">
        <f>H710/(180*0.714)</f>
        <v/>
      </c>
    </row>
    <row r="711">
      <c r="A711" s="4" t="inlineStr">
        <is>
          <t>SERV-10707</t>
        </is>
      </c>
      <c r="B711" s="5" t="inlineStr">
        <is>
          <t>Professor da Educação Básica (40h)</t>
        </is>
      </c>
      <c r="C711" s="4" t="inlineStr">
        <is>
          <t>Efetivo Concursado</t>
        </is>
      </c>
      <c r="D711" s="4" t="inlineStr">
        <is>
          <t>SEC-EDU</t>
        </is>
      </c>
      <c r="E711" s="6" t="n">
        <v>5140.5</v>
      </c>
      <c r="F711" s="6">
        <f>E711*0.22</f>
        <v/>
      </c>
      <c r="G711" s="6">
        <f>E711+F711</f>
        <v/>
      </c>
      <c r="H711" s="10" t="n">
        <v>2</v>
      </c>
      <c r="I711" s="7">
        <f>H711/(180*0.714)</f>
        <v/>
      </c>
    </row>
    <row r="712">
      <c r="A712" s="4" t="inlineStr">
        <is>
          <t>SERV-10708</t>
        </is>
      </c>
      <c r="B712" s="5" t="inlineStr">
        <is>
          <t>Professor da Educação Básica (40h)</t>
        </is>
      </c>
      <c r="C712" s="4" t="inlineStr">
        <is>
          <t>Efetivo Concursado</t>
        </is>
      </c>
      <c r="D712" s="4" t="inlineStr">
        <is>
          <t>SEC-EDU</t>
        </is>
      </c>
      <c r="E712" s="6" t="n">
        <v>5094.63</v>
      </c>
      <c r="F712" s="6">
        <f>E712*0.22</f>
        <v/>
      </c>
      <c r="G712" s="6">
        <f>E712+F712</f>
        <v/>
      </c>
      <c r="H712" s="10" t="n">
        <v>5</v>
      </c>
      <c r="I712" s="7">
        <f>H712/(180*0.714)</f>
        <v/>
      </c>
    </row>
    <row r="713">
      <c r="A713" s="4" t="inlineStr">
        <is>
          <t>SERV-10709</t>
        </is>
      </c>
      <c r="B713" s="5" t="inlineStr">
        <is>
          <t>Professor da Educação Básica (40h)</t>
        </is>
      </c>
      <c r="C713" s="4" t="inlineStr">
        <is>
          <t>Efetivo Concursado</t>
        </is>
      </c>
      <c r="D713" s="4" t="inlineStr">
        <is>
          <t>SEC-EDU</t>
        </is>
      </c>
      <c r="E713" s="6" t="n">
        <v>5432.72</v>
      </c>
      <c r="F713" s="6">
        <f>E713*0.22</f>
        <v/>
      </c>
      <c r="G713" s="6">
        <f>E713+F713</f>
        <v/>
      </c>
      <c r="H713" s="10" t="n">
        <v>6</v>
      </c>
      <c r="I713" s="7">
        <f>H713/(180*0.714)</f>
        <v/>
      </c>
    </row>
    <row r="714">
      <c r="A714" s="4" t="inlineStr">
        <is>
          <t>SERV-10710</t>
        </is>
      </c>
      <c r="B714" s="5" t="inlineStr">
        <is>
          <t>Professor da Educação Básica (40h)</t>
        </is>
      </c>
      <c r="C714" s="4" t="inlineStr">
        <is>
          <t>Efetivo Concursado</t>
        </is>
      </c>
      <c r="D714" s="4" t="inlineStr">
        <is>
          <t>SEC-EDU</t>
        </is>
      </c>
      <c r="E714" s="6" t="n">
        <v>5469.7</v>
      </c>
      <c r="F714" s="6">
        <f>E714*0.22</f>
        <v/>
      </c>
      <c r="G714" s="6">
        <f>E714+F714</f>
        <v/>
      </c>
      <c r="H714" s="10" t="n">
        <v>4</v>
      </c>
      <c r="I714" s="7">
        <f>H714/(180*0.714)</f>
        <v/>
      </c>
    </row>
    <row r="715">
      <c r="A715" s="4" t="inlineStr">
        <is>
          <t>SERV-10711</t>
        </is>
      </c>
      <c r="B715" s="5" t="inlineStr">
        <is>
          <t>Professor da Educação Básica (40h)</t>
        </is>
      </c>
      <c r="C715" s="4" t="inlineStr">
        <is>
          <t>Efetivo Concursado</t>
        </is>
      </c>
      <c r="D715" s="4" t="inlineStr">
        <is>
          <t>SEC-EDU</t>
        </is>
      </c>
      <c r="E715" s="6" t="n">
        <v>5671.33</v>
      </c>
      <c r="F715" s="6">
        <f>E715*0.22</f>
        <v/>
      </c>
      <c r="G715" s="6">
        <f>E715+F715</f>
        <v/>
      </c>
      <c r="H715" s="10" t="n">
        <v>6</v>
      </c>
      <c r="I715" s="7">
        <f>H715/(180*0.714)</f>
        <v/>
      </c>
    </row>
    <row r="716">
      <c r="A716" s="4" t="inlineStr">
        <is>
          <t>SERV-10712</t>
        </is>
      </c>
      <c r="B716" s="5" t="inlineStr">
        <is>
          <t>Professor da Educação Básica (40h)</t>
        </is>
      </c>
      <c r="C716" s="4" t="inlineStr">
        <is>
          <t>Efetivo Concursado</t>
        </is>
      </c>
      <c r="D716" s="4" t="inlineStr">
        <is>
          <t>SEC-EDU</t>
        </is>
      </c>
      <c r="E716" s="6" t="n">
        <v>5373.64</v>
      </c>
      <c r="F716" s="6">
        <f>E716*0.22</f>
        <v/>
      </c>
      <c r="G716" s="6">
        <f>E716+F716</f>
        <v/>
      </c>
      <c r="H716" s="10" t="n">
        <v>3</v>
      </c>
      <c r="I716" s="7">
        <f>H716/(180*0.714)</f>
        <v/>
      </c>
    </row>
    <row r="717">
      <c r="A717" s="4" t="inlineStr">
        <is>
          <t>SERV-10713</t>
        </is>
      </c>
      <c r="B717" s="5" t="inlineStr">
        <is>
          <t>Professor da Educação Básica (40h)</t>
        </is>
      </c>
      <c r="C717" s="4" t="inlineStr">
        <is>
          <t>Efetivo Concursado</t>
        </is>
      </c>
      <c r="D717" s="4" t="inlineStr">
        <is>
          <t>SEC-EDU</t>
        </is>
      </c>
      <c r="E717" s="6" t="n">
        <v>5341.78</v>
      </c>
      <c r="F717" s="6">
        <f>E717*0.22</f>
        <v/>
      </c>
      <c r="G717" s="6">
        <f>E717+F717</f>
        <v/>
      </c>
      <c r="H717" s="10" t="n">
        <v>2</v>
      </c>
      <c r="I717" s="7">
        <f>H717/(180*0.714)</f>
        <v/>
      </c>
    </row>
    <row r="718">
      <c r="A718" s="4" t="inlineStr">
        <is>
          <t>SERV-10714</t>
        </is>
      </c>
      <c r="B718" s="5" t="inlineStr">
        <is>
          <t>Professor da Educação Básica (40h)</t>
        </is>
      </c>
      <c r="C718" s="4" t="inlineStr">
        <is>
          <t>Efetivo Concursado</t>
        </is>
      </c>
      <c r="D718" s="4" t="inlineStr">
        <is>
          <t>SEC-EDU</t>
        </is>
      </c>
      <c r="E718" s="6" t="n">
        <v>5389.3</v>
      </c>
      <c r="F718" s="6">
        <f>E718*0.22</f>
        <v/>
      </c>
      <c r="G718" s="6">
        <f>E718+F718</f>
        <v/>
      </c>
      <c r="H718" s="10" t="n">
        <v>7</v>
      </c>
      <c r="I718" s="7">
        <f>H718/(180*0.714)</f>
        <v/>
      </c>
    </row>
    <row r="719">
      <c r="A719" s="4" t="inlineStr">
        <is>
          <t>SERV-10715</t>
        </is>
      </c>
      <c r="B719" s="5" t="inlineStr">
        <is>
          <t>Professor da Educação Básica (40h)</t>
        </is>
      </c>
      <c r="C719" s="4" t="inlineStr">
        <is>
          <t>Efetivo Concursado</t>
        </is>
      </c>
      <c r="D719" s="4" t="inlineStr">
        <is>
          <t>SEC-EDU</t>
        </is>
      </c>
      <c r="E719" s="6" t="n">
        <v>4836.96</v>
      </c>
      <c r="F719" s="6">
        <f>E719*0.22</f>
        <v/>
      </c>
      <c r="G719" s="6">
        <f>E719+F719</f>
        <v/>
      </c>
      <c r="H719" s="10" t="n">
        <v>3</v>
      </c>
      <c r="I719" s="7">
        <f>H719/(180*0.714)</f>
        <v/>
      </c>
    </row>
    <row r="720">
      <c r="A720" s="4" t="inlineStr">
        <is>
          <t>SERV-10716</t>
        </is>
      </c>
      <c r="B720" s="5" t="inlineStr">
        <is>
          <t>Professor da Educação Básica (40h)</t>
        </is>
      </c>
      <c r="C720" s="4" t="inlineStr">
        <is>
          <t>Efetivo Concursado</t>
        </is>
      </c>
      <c r="D720" s="4" t="inlineStr">
        <is>
          <t>SEC-EDU</t>
        </is>
      </c>
      <c r="E720" s="6" t="n">
        <v>5392.9</v>
      </c>
      <c r="F720" s="6">
        <f>E720*0.22</f>
        <v/>
      </c>
      <c r="G720" s="6">
        <f>E720+F720</f>
        <v/>
      </c>
      <c r="H720" s="10" t="n">
        <v>4</v>
      </c>
      <c r="I720" s="7">
        <f>H720/(180*0.714)</f>
        <v/>
      </c>
    </row>
    <row r="721">
      <c r="A721" s="4" t="inlineStr">
        <is>
          <t>SERV-10717</t>
        </is>
      </c>
      <c r="B721" s="5" t="inlineStr">
        <is>
          <t>Professor da Educação Básica (40h)</t>
        </is>
      </c>
      <c r="C721" s="4" t="inlineStr">
        <is>
          <t>Efetivo Concursado</t>
        </is>
      </c>
      <c r="D721" s="4" t="inlineStr">
        <is>
          <t>SEC-EDU</t>
        </is>
      </c>
      <c r="E721" s="6" t="n">
        <v>5684.27</v>
      </c>
      <c r="F721" s="6">
        <f>E721*0.22</f>
        <v/>
      </c>
      <c r="G721" s="6">
        <f>E721+F721</f>
        <v/>
      </c>
      <c r="H721" s="10" t="n">
        <v>2</v>
      </c>
      <c r="I721" s="7">
        <f>H721/(180*0.714)</f>
        <v/>
      </c>
    </row>
    <row r="722">
      <c r="A722" s="4" t="inlineStr">
        <is>
          <t>SERV-10718</t>
        </is>
      </c>
      <c r="B722" s="5" t="inlineStr">
        <is>
          <t>Professor da Educação Básica (40h)</t>
        </is>
      </c>
      <c r="C722" s="4" t="inlineStr">
        <is>
          <t>Efetivo Concursado</t>
        </is>
      </c>
      <c r="D722" s="4" t="inlineStr">
        <is>
          <t>SEC-EDU</t>
        </is>
      </c>
      <c r="E722" s="6" t="n">
        <v>4897.15</v>
      </c>
      <c r="F722" s="6">
        <f>E722*0.22</f>
        <v/>
      </c>
      <c r="G722" s="6">
        <f>E722+F722</f>
        <v/>
      </c>
      <c r="H722" s="10" t="n">
        <v>3</v>
      </c>
      <c r="I722" s="7">
        <f>H722/(180*0.714)</f>
        <v/>
      </c>
    </row>
    <row r="723">
      <c r="A723" s="4" t="inlineStr">
        <is>
          <t>SERV-10719</t>
        </is>
      </c>
      <c r="B723" s="5" t="inlineStr">
        <is>
          <t>Professor da Educação Básica (40h)</t>
        </is>
      </c>
      <c r="C723" s="4" t="inlineStr">
        <is>
          <t>Efetivo Concursado</t>
        </is>
      </c>
      <c r="D723" s="4" t="inlineStr">
        <is>
          <t>SEC-EDU</t>
        </is>
      </c>
      <c r="E723" s="6" t="n">
        <v>4972.32</v>
      </c>
      <c r="F723" s="6">
        <f>E723*0.22</f>
        <v/>
      </c>
      <c r="G723" s="6">
        <f>E723+F723</f>
        <v/>
      </c>
      <c r="H723" s="10" t="n">
        <v>7</v>
      </c>
      <c r="I723" s="7">
        <f>H723/(180*0.714)</f>
        <v/>
      </c>
    </row>
    <row r="724">
      <c r="A724" s="4" t="inlineStr">
        <is>
          <t>SERV-10720</t>
        </is>
      </c>
      <c r="B724" s="5" t="inlineStr">
        <is>
          <t>Professor da Educação Básica (40h)</t>
        </is>
      </c>
      <c r="C724" s="4" t="inlineStr">
        <is>
          <t>Efetivo Concursado</t>
        </is>
      </c>
      <c r="D724" s="4" t="inlineStr">
        <is>
          <t>SEC-EDU</t>
        </is>
      </c>
      <c r="E724" s="6" t="n">
        <v>4856.22</v>
      </c>
      <c r="F724" s="6">
        <f>E724*0.22</f>
        <v/>
      </c>
      <c r="G724" s="6">
        <f>E724+F724</f>
        <v/>
      </c>
      <c r="H724" s="10" t="n">
        <v>5</v>
      </c>
      <c r="I724" s="7">
        <f>H724/(180*0.714)</f>
        <v/>
      </c>
    </row>
    <row r="725">
      <c r="A725" s="4" t="inlineStr">
        <is>
          <t>SERV-10721</t>
        </is>
      </c>
      <c r="B725" s="5" t="inlineStr">
        <is>
          <t>Professor da Educação Básica (40h)</t>
        </is>
      </c>
      <c r="C725" s="4" t="inlineStr">
        <is>
          <t>Efetivo Concursado</t>
        </is>
      </c>
      <c r="D725" s="4" t="inlineStr">
        <is>
          <t>SEC-EDU</t>
        </is>
      </c>
      <c r="E725" s="6" t="n">
        <v>5808.6</v>
      </c>
      <c r="F725" s="6">
        <f>E725*0.22</f>
        <v/>
      </c>
      <c r="G725" s="6">
        <f>E725+F725</f>
        <v/>
      </c>
      <c r="H725" s="10" t="n">
        <v>5</v>
      </c>
      <c r="I725" s="7">
        <f>H725/(180*0.714)</f>
        <v/>
      </c>
    </row>
    <row r="726">
      <c r="A726" s="4" t="inlineStr">
        <is>
          <t>SERV-10722</t>
        </is>
      </c>
      <c r="B726" s="5" t="inlineStr">
        <is>
          <t>Professor da Educação Básica (40h)</t>
        </is>
      </c>
      <c r="C726" s="4" t="inlineStr">
        <is>
          <t>Efetivo Concursado</t>
        </is>
      </c>
      <c r="D726" s="4" t="inlineStr">
        <is>
          <t>SEC-EDU</t>
        </is>
      </c>
      <c r="E726" s="6" t="n">
        <v>5349.25</v>
      </c>
      <c r="F726" s="6">
        <f>E726*0.22</f>
        <v/>
      </c>
      <c r="G726" s="6">
        <f>E726+F726</f>
        <v/>
      </c>
      <c r="H726" s="10" t="n">
        <v>7</v>
      </c>
      <c r="I726" s="7">
        <f>H726/(180*0.714)</f>
        <v/>
      </c>
    </row>
    <row r="727">
      <c r="A727" s="4" t="inlineStr">
        <is>
          <t>SERV-10723</t>
        </is>
      </c>
      <c r="B727" s="5" t="inlineStr">
        <is>
          <t>Professor da Educação Básica (40h)</t>
        </is>
      </c>
      <c r="C727" s="4" t="inlineStr">
        <is>
          <t>Efetivo Concursado</t>
        </is>
      </c>
      <c r="D727" s="4" t="inlineStr">
        <is>
          <t>SEC-EDU</t>
        </is>
      </c>
      <c r="E727" s="6" t="n">
        <v>5042.94</v>
      </c>
      <c r="F727" s="6">
        <f>E727*0.22</f>
        <v/>
      </c>
      <c r="G727" s="6">
        <f>E727+F727</f>
        <v/>
      </c>
      <c r="H727" s="10" t="n">
        <v>5</v>
      </c>
      <c r="I727" s="7">
        <f>H727/(180*0.714)</f>
        <v/>
      </c>
    </row>
    <row r="728">
      <c r="A728" s="4" t="inlineStr">
        <is>
          <t>SERV-10724</t>
        </is>
      </c>
      <c r="B728" s="5" t="inlineStr">
        <is>
          <t>Professor da Educação Básica (40h)</t>
        </is>
      </c>
      <c r="C728" s="4" t="inlineStr">
        <is>
          <t>Efetivo Concursado</t>
        </is>
      </c>
      <c r="D728" s="4" t="inlineStr">
        <is>
          <t>SEC-EDU</t>
        </is>
      </c>
      <c r="E728" s="6" t="n">
        <v>5531.44</v>
      </c>
      <c r="F728" s="6">
        <f>E728*0.22</f>
        <v/>
      </c>
      <c r="G728" s="6">
        <f>E728+F728</f>
        <v/>
      </c>
      <c r="H728" s="10" t="n">
        <v>3</v>
      </c>
      <c r="I728" s="7">
        <f>H728/(180*0.714)</f>
        <v/>
      </c>
    </row>
    <row r="729">
      <c r="A729" s="4" t="inlineStr">
        <is>
          <t>SERV-10725</t>
        </is>
      </c>
      <c r="B729" s="5" t="inlineStr">
        <is>
          <t>Professor da Educação Básica (40h)</t>
        </is>
      </c>
      <c r="C729" s="4" t="inlineStr">
        <is>
          <t>Efetivo Concursado</t>
        </is>
      </c>
      <c r="D729" s="4" t="inlineStr">
        <is>
          <t>SEC-EDU</t>
        </is>
      </c>
      <c r="E729" s="6" t="n">
        <v>5538.97</v>
      </c>
      <c r="F729" s="6">
        <f>E729*0.22</f>
        <v/>
      </c>
      <c r="G729" s="6">
        <f>E729+F729</f>
        <v/>
      </c>
      <c r="H729" s="10" t="n">
        <v>7</v>
      </c>
      <c r="I729" s="7">
        <f>H729/(180*0.714)</f>
        <v/>
      </c>
    </row>
    <row r="730">
      <c r="A730" s="4" t="inlineStr">
        <is>
          <t>SERV-10726</t>
        </is>
      </c>
      <c r="B730" s="5" t="inlineStr">
        <is>
          <t>Professor da Educação Básica (40h)</t>
        </is>
      </c>
      <c r="C730" s="4" t="inlineStr">
        <is>
          <t>Efetivo Concursado</t>
        </is>
      </c>
      <c r="D730" s="4" t="inlineStr">
        <is>
          <t>SEC-EDU</t>
        </is>
      </c>
      <c r="E730" s="6" t="n">
        <v>5464.99</v>
      </c>
      <c r="F730" s="6">
        <f>E730*0.22</f>
        <v/>
      </c>
      <c r="G730" s="6">
        <f>E730+F730</f>
        <v/>
      </c>
      <c r="H730" s="10" t="n">
        <v>5</v>
      </c>
      <c r="I730" s="7">
        <f>H730/(180*0.714)</f>
        <v/>
      </c>
    </row>
    <row r="731">
      <c r="A731" s="4" t="inlineStr">
        <is>
          <t>SERV-10727</t>
        </is>
      </c>
      <c r="B731" s="5" t="inlineStr">
        <is>
          <t>Professor da Educação Básica (40h)</t>
        </is>
      </c>
      <c r="C731" s="4" t="inlineStr">
        <is>
          <t>Efetivo Concursado</t>
        </is>
      </c>
      <c r="D731" s="4" t="inlineStr">
        <is>
          <t>SEC-EDU</t>
        </is>
      </c>
      <c r="E731" s="6" t="n">
        <v>4920.46</v>
      </c>
      <c r="F731" s="6">
        <f>E731*0.22</f>
        <v/>
      </c>
      <c r="G731" s="6">
        <f>E731+F731</f>
        <v/>
      </c>
      <c r="H731" s="10" t="n">
        <v>7</v>
      </c>
      <c r="I731" s="7">
        <f>H731/(180*0.714)</f>
        <v/>
      </c>
    </row>
    <row r="732">
      <c r="A732" s="4" t="inlineStr">
        <is>
          <t>SERV-10728</t>
        </is>
      </c>
      <c r="B732" s="5" t="inlineStr">
        <is>
          <t>Professor da Educação Básica (40h)</t>
        </is>
      </c>
      <c r="C732" s="4" t="inlineStr">
        <is>
          <t>Efetivo Concursado</t>
        </is>
      </c>
      <c r="D732" s="4" t="inlineStr">
        <is>
          <t>SEC-EDU</t>
        </is>
      </c>
      <c r="E732" s="6" t="n">
        <v>5714.29</v>
      </c>
      <c r="F732" s="6">
        <f>E732*0.22</f>
        <v/>
      </c>
      <c r="G732" s="6">
        <f>E732+F732</f>
        <v/>
      </c>
      <c r="H732" s="10" t="n">
        <v>5</v>
      </c>
      <c r="I732" s="7">
        <f>H732/(180*0.714)</f>
        <v/>
      </c>
    </row>
    <row r="733">
      <c r="A733" s="4" t="inlineStr">
        <is>
          <t>SERV-10729</t>
        </is>
      </c>
      <c r="B733" s="5" t="inlineStr">
        <is>
          <t>Professor da Educação Básica (40h)</t>
        </is>
      </c>
      <c r="C733" s="4" t="inlineStr">
        <is>
          <t>Efetivo Concursado</t>
        </is>
      </c>
      <c r="D733" s="4" t="inlineStr">
        <is>
          <t>SEC-EDU</t>
        </is>
      </c>
      <c r="E733" s="6" t="n">
        <v>5587.83</v>
      </c>
      <c r="F733" s="6">
        <f>E733*0.22</f>
        <v/>
      </c>
      <c r="G733" s="6">
        <f>E733+F733</f>
        <v/>
      </c>
      <c r="H733" s="10" t="n">
        <v>3</v>
      </c>
      <c r="I733" s="7">
        <f>H733/(180*0.714)</f>
        <v/>
      </c>
    </row>
    <row r="734">
      <c r="A734" s="4" t="inlineStr">
        <is>
          <t>SERV-10730</t>
        </is>
      </c>
      <c r="B734" s="5" t="inlineStr">
        <is>
          <t>Professor da Educação Básica (40h)</t>
        </is>
      </c>
      <c r="C734" s="4" t="inlineStr">
        <is>
          <t>Efetivo Concursado</t>
        </is>
      </c>
      <c r="D734" s="4" t="inlineStr">
        <is>
          <t>SEC-EDU</t>
        </is>
      </c>
      <c r="E734" s="6" t="n">
        <v>4889.04</v>
      </c>
      <c r="F734" s="6">
        <f>E734*0.22</f>
        <v/>
      </c>
      <c r="G734" s="6">
        <f>E734+F734</f>
        <v/>
      </c>
      <c r="H734" s="10" t="n">
        <v>6</v>
      </c>
      <c r="I734" s="7">
        <f>H734/(180*0.714)</f>
        <v/>
      </c>
    </row>
    <row r="735">
      <c r="A735" s="4" t="inlineStr">
        <is>
          <t>SERV-10731</t>
        </is>
      </c>
      <c r="B735" s="5" t="inlineStr">
        <is>
          <t>Professor da Educação Básica (40h)</t>
        </is>
      </c>
      <c r="C735" s="4" t="inlineStr">
        <is>
          <t>Efetivo Concursado</t>
        </is>
      </c>
      <c r="D735" s="4" t="inlineStr">
        <is>
          <t>SEC-EDU</t>
        </is>
      </c>
      <c r="E735" s="6" t="n">
        <v>4799.56</v>
      </c>
      <c r="F735" s="6">
        <f>E735*0.22</f>
        <v/>
      </c>
      <c r="G735" s="6">
        <f>E735+F735</f>
        <v/>
      </c>
      <c r="H735" s="10" t="n">
        <v>4</v>
      </c>
      <c r="I735" s="7">
        <f>H735/(180*0.714)</f>
        <v/>
      </c>
    </row>
    <row r="736">
      <c r="A736" s="4" t="inlineStr">
        <is>
          <t>SERV-10732</t>
        </is>
      </c>
      <c r="B736" s="5" t="inlineStr">
        <is>
          <t>Professor da Educação Básica (40h)</t>
        </is>
      </c>
      <c r="C736" s="4" t="inlineStr">
        <is>
          <t>Efetivo Concursado</t>
        </is>
      </c>
      <c r="D736" s="4" t="inlineStr">
        <is>
          <t>SEC-EDU</t>
        </is>
      </c>
      <c r="E736" s="6" t="n">
        <v>4943.03</v>
      </c>
      <c r="F736" s="6">
        <f>E736*0.22</f>
        <v/>
      </c>
      <c r="G736" s="6">
        <f>E736+F736</f>
        <v/>
      </c>
      <c r="H736" s="10" t="n">
        <v>6</v>
      </c>
      <c r="I736" s="7">
        <f>H736/(180*0.714)</f>
        <v/>
      </c>
    </row>
    <row r="737">
      <c r="A737" s="4" t="inlineStr">
        <is>
          <t>SERV-10733</t>
        </is>
      </c>
      <c r="B737" s="5" t="inlineStr">
        <is>
          <t>Professor da Educação Básica (40h)</t>
        </is>
      </c>
      <c r="C737" s="4" t="inlineStr">
        <is>
          <t>Efetivo Concursado</t>
        </is>
      </c>
      <c r="D737" s="4" t="inlineStr">
        <is>
          <t>SEC-EDU</t>
        </is>
      </c>
      <c r="E737" s="6" t="n">
        <v>5507.19</v>
      </c>
      <c r="F737" s="6">
        <f>E737*0.22</f>
        <v/>
      </c>
      <c r="G737" s="6">
        <f>E737+F737</f>
        <v/>
      </c>
      <c r="H737" s="10" t="n">
        <v>2</v>
      </c>
      <c r="I737" s="7">
        <f>H737/(180*0.714)</f>
        <v/>
      </c>
    </row>
    <row r="738">
      <c r="A738" s="4" t="inlineStr">
        <is>
          <t>SERV-10734</t>
        </is>
      </c>
      <c r="B738" s="5" t="inlineStr">
        <is>
          <t>Professor da Educação Básica (40h)</t>
        </is>
      </c>
      <c r="C738" s="4" t="inlineStr">
        <is>
          <t>Efetivo Concursado</t>
        </is>
      </c>
      <c r="D738" s="4" t="inlineStr">
        <is>
          <t>SEC-EDU</t>
        </is>
      </c>
      <c r="E738" s="6" t="n">
        <v>5676.27</v>
      </c>
      <c r="F738" s="6">
        <f>E738*0.22</f>
        <v/>
      </c>
      <c r="G738" s="6">
        <f>E738+F738</f>
        <v/>
      </c>
      <c r="H738" s="10" t="n">
        <v>5</v>
      </c>
      <c r="I738" s="7">
        <f>H738/(180*0.714)</f>
        <v/>
      </c>
    </row>
    <row r="739">
      <c r="A739" s="4" t="inlineStr">
        <is>
          <t>SERV-10735</t>
        </is>
      </c>
      <c r="B739" s="5" t="inlineStr">
        <is>
          <t>Professor da Educação Básica (40h)</t>
        </is>
      </c>
      <c r="C739" s="4" t="inlineStr">
        <is>
          <t>Efetivo Concursado</t>
        </is>
      </c>
      <c r="D739" s="4" t="inlineStr">
        <is>
          <t>SEC-EDU</t>
        </is>
      </c>
      <c r="E739" s="6" t="n">
        <v>5284.18</v>
      </c>
      <c r="F739" s="6">
        <f>E739*0.22</f>
        <v/>
      </c>
      <c r="G739" s="6">
        <f>E739+F739</f>
        <v/>
      </c>
      <c r="H739" s="10" t="n">
        <v>6</v>
      </c>
      <c r="I739" s="7">
        <f>H739/(180*0.714)</f>
        <v/>
      </c>
    </row>
    <row r="740">
      <c r="A740" s="4" t="inlineStr">
        <is>
          <t>SERV-10736</t>
        </is>
      </c>
      <c r="B740" s="5" t="inlineStr">
        <is>
          <t>Professor da Educação Básica (40h)</t>
        </is>
      </c>
      <c r="C740" s="4" t="inlineStr">
        <is>
          <t>Efetivo Concursado</t>
        </is>
      </c>
      <c r="D740" s="4" t="inlineStr">
        <is>
          <t>SEC-EDU</t>
        </is>
      </c>
      <c r="E740" s="6" t="n">
        <v>4808.05</v>
      </c>
      <c r="F740" s="6">
        <f>E740*0.22</f>
        <v/>
      </c>
      <c r="G740" s="6">
        <f>E740+F740</f>
        <v/>
      </c>
      <c r="H740" s="10" t="n">
        <v>3</v>
      </c>
      <c r="I740" s="7">
        <f>H740/(180*0.714)</f>
        <v/>
      </c>
    </row>
    <row r="741">
      <c r="A741" s="4" t="inlineStr">
        <is>
          <t>SERV-10737</t>
        </is>
      </c>
      <c r="B741" s="5" t="inlineStr">
        <is>
          <t>Professor da Educação Básica (40h)</t>
        </is>
      </c>
      <c r="C741" s="4" t="inlineStr">
        <is>
          <t>Efetivo Concursado</t>
        </is>
      </c>
      <c r="D741" s="4" t="inlineStr">
        <is>
          <t>SEC-EDU</t>
        </is>
      </c>
      <c r="E741" s="6" t="n">
        <v>5178.85</v>
      </c>
      <c r="F741" s="6">
        <f>E741*0.22</f>
        <v/>
      </c>
      <c r="G741" s="6">
        <f>E741+F741</f>
        <v/>
      </c>
      <c r="H741" s="10" t="n">
        <v>2</v>
      </c>
      <c r="I741" s="7">
        <f>H741/(180*0.714)</f>
        <v/>
      </c>
    </row>
    <row r="742">
      <c r="A742" s="4" t="inlineStr">
        <is>
          <t>SERV-10738</t>
        </is>
      </c>
      <c r="B742" s="5" t="inlineStr">
        <is>
          <t>Professor da Educação Básica (40h)</t>
        </is>
      </c>
      <c r="C742" s="4" t="inlineStr">
        <is>
          <t>Efetivo Concursado</t>
        </is>
      </c>
      <c r="D742" s="4" t="inlineStr">
        <is>
          <t>SEC-EDU</t>
        </is>
      </c>
      <c r="E742" s="6" t="n">
        <v>4997.24</v>
      </c>
      <c r="F742" s="6">
        <f>E742*0.22</f>
        <v/>
      </c>
      <c r="G742" s="6">
        <f>E742+F742</f>
        <v/>
      </c>
      <c r="H742" s="10" t="n">
        <v>5</v>
      </c>
      <c r="I742" s="7">
        <f>H742/(180*0.714)</f>
        <v/>
      </c>
    </row>
    <row r="743">
      <c r="A743" s="4" t="inlineStr">
        <is>
          <t>SERV-10739</t>
        </is>
      </c>
      <c r="B743" s="5" t="inlineStr">
        <is>
          <t>Professor da Educação Básica (40h)</t>
        </is>
      </c>
      <c r="C743" s="4" t="inlineStr">
        <is>
          <t>Efetivo Concursado</t>
        </is>
      </c>
      <c r="D743" s="4" t="inlineStr">
        <is>
          <t>SEC-EDU</t>
        </is>
      </c>
      <c r="E743" s="6" t="n">
        <v>4801.34</v>
      </c>
      <c r="F743" s="6">
        <f>E743*0.22</f>
        <v/>
      </c>
      <c r="G743" s="6">
        <f>E743+F743</f>
        <v/>
      </c>
      <c r="H743" s="10" t="n">
        <v>7</v>
      </c>
      <c r="I743" s="7">
        <f>H743/(180*0.714)</f>
        <v/>
      </c>
    </row>
    <row r="744">
      <c r="A744" s="4" t="inlineStr">
        <is>
          <t>SERV-10740</t>
        </is>
      </c>
      <c r="B744" s="5" t="inlineStr">
        <is>
          <t>Professor da Educação Básica (40h)</t>
        </is>
      </c>
      <c r="C744" s="4" t="inlineStr">
        <is>
          <t>Efetivo Concursado</t>
        </is>
      </c>
      <c r="D744" s="4" t="inlineStr">
        <is>
          <t>SEC-EDU</t>
        </is>
      </c>
      <c r="E744" s="6" t="n">
        <v>5281.28</v>
      </c>
      <c r="F744" s="6">
        <f>E744*0.22</f>
        <v/>
      </c>
      <c r="G744" s="6">
        <f>E744+F744</f>
        <v/>
      </c>
      <c r="H744" s="10" t="n">
        <v>7</v>
      </c>
      <c r="I744" s="7">
        <f>H744/(180*0.714)</f>
        <v/>
      </c>
    </row>
    <row r="745">
      <c r="A745" s="4" t="inlineStr">
        <is>
          <t>SERV-10741</t>
        </is>
      </c>
      <c r="B745" s="5" t="inlineStr">
        <is>
          <t>Professor da Educação Básica (40h)</t>
        </is>
      </c>
      <c r="C745" s="4" t="inlineStr">
        <is>
          <t>Efetivo Concursado</t>
        </is>
      </c>
      <c r="D745" s="4" t="inlineStr">
        <is>
          <t>SEC-EDU</t>
        </is>
      </c>
      <c r="E745" s="6" t="n">
        <v>5223.5</v>
      </c>
      <c r="F745" s="6">
        <f>E745*0.22</f>
        <v/>
      </c>
      <c r="G745" s="6">
        <f>E745+F745</f>
        <v/>
      </c>
      <c r="H745" s="10" t="n">
        <v>2</v>
      </c>
      <c r="I745" s="7">
        <f>H745/(180*0.714)</f>
        <v/>
      </c>
    </row>
    <row r="746">
      <c r="A746" s="4" t="inlineStr">
        <is>
          <t>SERV-10742</t>
        </is>
      </c>
      <c r="B746" s="5" t="inlineStr">
        <is>
          <t>Professor da Educação Básica (40h)</t>
        </is>
      </c>
      <c r="C746" s="4" t="inlineStr">
        <is>
          <t>Efetivo Concursado</t>
        </is>
      </c>
      <c r="D746" s="4" t="inlineStr">
        <is>
          <t>SEC-EDU</t>
        </is>
      </c>
      <c r="E746" s="6" t="n">
        <v>5742.89</v>
      </c>
      <c r="F746" s="6">
        <f>E746*0.22</f>
        <v/>
      </c>
      <c r="G746" s="6">
        <f>E746+F746</f>
        <v/>
      </c>
      <c r="H746" s="10" t="n">
        <v>3</v>
      </c>
      <c r="I746" s="7">
        <f>H746/(180*0.714)</f>
        <v/>
      </c>
    </row>
    <row r="747">
      <c r="A747" s="4" t="inlineStr">
        <is>
          <t>SERV-10743</t>
        </is>
      </c>
      <c r="B747" s="5" t="inlineStr">
        <is>
          <t>Professor da Educação Básica (40h)</t>
        </is>
      </c>
      <c r="C747" s="4" t="inlineStr">
        <is>
          <t>Efetivo Concursado</t>
        </is>
      </c>
      <c r="D747" s="4" t="inlineStr">
        <is>
          <t>SEC-EDU</t>
        </is>
      </c>
      <c r="E747" s="6" t="n">
        <v>5596.58</v>
      </c>
      <c r="F747" s="6">
        <f>E747*0.22</f>
        <v/>
      </c>
      <c r="G747" s="6">
        <f>E747+F747</f>
        <v/>
      </c>
      <c r="H747" s="10" t="n">
        <v>2</v>
      </c>
      <c r="I747" s="7">
        <f>H747/(180*0.714)</f>
        <v/>
      </c>
    </row>
    <row r="748">
      <c r="A748" s="4" t="inlineStr">
        <is>
          <t>SERV-10744</t>
        </is>
      </c>
      <c r="B748" s="5" t="inlineStr">
        <is>
          <t>Professor da Educação Básica (40h)</t>
        </is>
      </c>
      <c r="C748" s="4" t="inlineStr">
        <is>
          <t>Efetivo Concursado</t>
        </is>
      </c>
      <c r="D748" s="4" t="inlineStr">
        <is>
          <t>SEC-EDU</t>
        </is>
      </c>
      <c r="E748" s="6" t="n">
        <v>5629.63</v>
      </c>
      <c r="F748" s="6">
        <f>E748*0.22</f>
        <v/>
      </c>
      <c r="G748" s="6">
        <f>E748+F748</f>
        <v/>
      </c>
      <c r="H748" s="10" t="n">
        <v>4</v>
      </c>
      <c r="I748" s="7">
        <f>H748/(180*0.714)</f>
        <v/>
      </c>
    </row>
    <row r="749">
      <c r="A749" s="4" t="inlineStr">
        <is>
          <t>SERV-10745</t>
        </is>
      </c>
      <c r="B749" s="5" t="inlineStr">
        <is>
          <t>Professor da Educação Básica (40h)</t>
        </is>
      </c>
      <c r="C749" s="4" t="inlineStr">
        <is>
          <t>Efetivo Concursado</t>
        </is>
      </c>
      <c r="D749" s="4" t="inlineStr">
        <is>
          <t>SEC-EDU</t>
        </is>
      </c>
      <c r="E749" s="6" t="n">
        <v>5354.23</v>
      </c>
      <c r="F749" s="6">
        <f>E749*0.22</f>
        <v/>
      </c>
      <c r="G749" s="6">
        <f>E749+F749</f>
        <v/>
      </c>
      <c r="H749" s="10" t="n">
        <v>4</v>
      </c>
      <c r="I749" s="7">
        <f>H749/(180*0.714)</f>
        <v/>
      </c>
    </row>
    <row r="750">
      <c r="A750" s="4" t="inlineStr">
        <is>
          <t>SERV-10746</t>
        </is>
      </c>
      <c r="B750" s="5" t="inlineStr">
        <is>
          <t>Professor da Educação Básica (40h)</t>
        </is>
      </c>
      <c r="C750" s="4" t="inlineStr">
        <is>
          <t>Efetivo Concursado</t>
        </is>
      </c>
      <c r="D750" s="4" t="inlineStr">
        <is>
          <t>SEC-EDU</t>
        </is>
      </c>
      <c r="E750" s="6" t="n">
        <v>5540</v>
      </c>
      <c r="F750" s="6">
        <f>E750*0.22</f>
        <v/>
      </c>
      <c r="G750" s="6">
        <f>E750+F750</f>
        <v/>
      </c>
      <c r="H750" s="10" t="n">
        <v>3</v>
      </c>
      <c r="I750" s="7">
        <f>H750/(180*0.714)</f>
        <v/>
      </c>
    </row>
    <row r="751">
      <c r="A751" s="4" t="inlineStr">
        <is>
          <t>SERV-10747</t>
        </is>
      </c>
      <c r="B751" s="5" t="inlineStr">
        <is>
          <t>Professor da Educação Básica (40h)</t>
        </is>
      </c>
      <c r="C751" s="4" t="inlineStr">
        <is>
          <t>Efetivo Concursado</t>
        </is>
      </c>
      <c r="D751" s="4" t="inlineStr">
        <is>
          <t>SEC-EDU</t>
        </is>
      </c>
      <c r="E751" s="6" t="n">
        <v>5096.3</v>
      </c>
      <c r="F751" s="6">
        <f>E751*0.22</f>
        <v/>
      </c>
      <c r="G751" s="6">
        <f>E751+F751</f>
        <v/>
      </c>
      <c r="H751" s="10" t="n">
        <v>2</v>
      </c>
      <c r="I751" s="7">
        <f>H751/(180*0.714)</f>
        <v/>
      </c>
    </row>
    <row r="752">
      <c r="A752" s="4" t="inlineStr">
        <is>
          <t>SERV-10748</t>
        </is>
      </c>
      <c r="B752" s="5" t="inlineStr">
        <is>
          <t>Professor da Educação Básica (40h)</t>
        </is>
      </c>
      <c r="C752" s="4" t="inlineStr">
        <is>
          <t>Efetivo Concursado</t>
        </is>
      </c>
      <c r="D752" s="4" t="inlineStr">
        <is>
          <t>SEC-EDU</t>
        </is>
      </c>
      <c r="E752" s="6" t="n">
        <v>5301.91</v>
      </c>
      <c r="F752" s="6">
        <f>E752*0.22</f>
        <v/>
      </c>
      <c r="G752" s="6">
        <f>E752+F752</f>
        <v/>
      </c>
      <c r="H752" s="10" t="n">
        <v>6</v>
      </c>
      <c r="I752" s="7">
        <f>H752/(180*0.714)</f>
        <v/>
      </c>
    </row>
    <row r="753">
      <c r="A753" s="4" t="inlineStr">
        <is>
          <t>SERV-10749</t>
        </is>
      </c>
      <c r="B753" s="5" t="inlineStr">
        <is>
          <t>Professor da Educação Básica (40h)</t>
        </is>
      </c>
      <c r="C753" s="4" t="inlineStr">
        <is>
          <t>Efetivo Concursado</t>
        </is>
      </c>
      <c r="D753" s="4" t="inlineStr">
        <is>
          <t>SEC-EDU</t>
        </is>
      </c>
      <c r="E753" s="6" t="n">
        <v>5009.46</v>
      </c>
      <c r="F753" s="6">
        <f>E753*0.22</f>
        <v/>
      </c>
      <c r="G753" s="6">
        <f>E753+F753</f>
        <v/>
      </c>
      <c r="H753" s="10" t="n">
        <v>2</v>
      </c>
      <c r="I753" s="7">
        <f>H753/(180*0.714)</f>
        <v/>
      </c>
    </row>
    <row r="754">
      <c r="A754" s="4" t="inlineStr">
        <is>
          <t>SERV-10750</t>
        </is>
      </c>
      <c r="B754" s="5" t="inlineStr">
        <is>
          <t>Professor da Educação Básica (40h)</t>
        </is>
      </c>
      <c r="C754" s="4" t="inlineStr">
        <is>
          <t>Efetivo Concursado</t>
        </is>
      </c>
      <c r="D754" s="4" t="inlineStr">
        <is>
          <t>SEC-EDU</t>
        </is>
      </c>
      <c r="E754" s="6" t="n">
        <v>5471.74</v>
      </c>
      <c r="F754" s="6">
        <f>E754*0.22</f>
        <v/>
      </c>
      <c r="G754" s="6">
        <f>E754+F754</f>
        <v/>
      </c>
      <c r="H754" s="10" t="n">
        <v>4</v>
      </c>
      <c r="I754" s="7">
        <f>H754/(180*0.714)</f>
        <v/>
      </c>
    </row>
    <row r="755">
      <c r="A755" s="4" t="inlineStr">
        <is>
          <t>SERV-10751</t>
        </is>
      </c>
      <c r="B755" s="5" t="inlineStr">
        <is>
          <t>Professor da Educação Básica (40h)</t>
        </is>
      </c>
      <c r="C755" s="4" t="inlineStr">
        <is>
          <t>Efetivo Concursado</t>
        </is>
      </c>
      <c r="D755" s="4" t="inlineStr">
        <is>
          <t>SEC-EDU</t>
        </is>
      </c>
      <c r="E755" s="6" t="n">
        <v>5031.04</v>
      </c>
      <c r="F755" s="6">
        <f>E755*0.22</f>
        <v/>
      </c>
      <c r="G755" s="6">
        <f>E755+F755</f>
        <v/>
      </c>
      <c r="H755" s="10" t="n">
        <v>7</v>
      </c>
      <c r="I755" s="7">
        <f>H755/(180*0.714)</f>
        <v/>
      </c>
    </row>
    <row r="756">
      <c r="A756" s="4" t="inlineStr">
        <is>
          <t>SERV-10752</t>
        </is>
      </c>
      <c r="B756" s="5" t="inlineStr">
        <is>
          <t>Professor da Educação Básica (40h)</t>
        </is>
      </c>
      <c r="C756" s="4" t="inlineStr">
        <is>
          <t>Efetivo Concursado</t>
        </is>
      </c>
      <c r="D756" s="4" t="inlineStr">
        <is>
          <t>SEC-EDU</t>
        </is>
      </c>
      <c r="E756" s="6" t="n">
        <v>5501.23</v>
      </c>
      <c r="F756" s="6">
        <f>E756*0.22</f>
        <v/>
      </c>
      <c r="G756" s="6">
        <f>E756+F756</f>
        <v/>
      </c>
      <c r="H756" s="10" t="n">
        <v>7</v>
      </c>
      <c r="I756" s="7">
        <f>H756/(180*0.714)</f>
        <v/>
      </c>
    </row>
    <row r="757">
      <c r="A757" s="4" t="inlineStr">
        <is>
          <t>SERV-10753</t>
        </is>
      </c>
      <c r="B757" s="5" t="inlineStr">
        <is>
          <t>Professor da Educação Básica (40h)</t>
        </is>
      </c>
      <c r="C757" s="4" t="inlineStr">
        <is>
          <t>Efetivo Concursado</t>
        </is>
      </c>
      <c r="D757" s="4" t="inlineStr">
        <is>
          <t>SEC-EDU</t>
        </is>
      </c>
      <c r="E757" s="6" t="n">
        <v>5289.55</v>
      </c>
      <c r="F757" s="6">
        <f>E757*0.22</f>
        <v/>
      </c>
      <c r="G757" s="6">
        <f>E757+F757</f>
        <v/>
      </c>
      <c r="H757" s="10" t="n">
        <v>2</v>
      </c>
      <c r="I757" s="7">
        <f>H757/(180*0.714)</f>
        <v/>
      </c>
    </row>
    <row r="758">
      <c r="A758" s="4" t="inlineStr">
        <is>
          <t>SERV-10754</t>
        </is>
      </c>
      <c r="B758" s="5" t="inlineStr">
        <is>
          <t>Professor da Educação Básica (40h)</t>
        </is>
      </c>
      <c r="C758" s="4" t="inlineStr">
        <is>
          <t>Efetivo Concursado</t>
        </is>
      </c>
      <c r="D758" s="4" t="inlineStr">
        <is>
          <t>SEC-EDU</t>
        </is>
      </c>
      <c r="E758" s="6" t="n">
        <v>4853.8</v>
      </c>
      <c r="F758" s="6">
        <f>E758*0.22</f>
        <v/>
      </c>
      <c r="G758" s="6">
        <f>E758+F758</f>
        <v/>
      </c>
      <c r="H758" s="10" t="n">
        <v>2</v>
      </c>
      <c r="I758" s="7">
        <f>H758/(180*0.714)</f>
        <v/>
      </c>
    </row>
    <row r="759">
      <c r="A759" s="4" t="inlineStr">
        <is>
          <t>SERV-10755</t>
        </is>
      </c>
      <c r="B759" s="5" t="inlineStr">
        <is>
          <t>Professor da Educação Básica (40h)</t>
        </is>
      </c>
      <c r="C759" s="4" t="inlineStr">
        <is>
          <t>Efetivo Concursado</t>
        </is>
      </c>
      <c r="D759" s="4" t="inlineStr">
        <is>
          <t>SEC-EDU</t>
        </is>
      </c>
      <c r="E759" s="6" t="n">
        <v>5164.12</v>
      </c>
      <c r="F759" s="6">
        <f>E759*0.22</f>
        <v/>
      </c>
      <c r="G759" s="6">
        <f>E759+F759</f>
        <v/>
      </c>
      <c r="H759" s="10" t="n">
        <v>3</v>
      </c>
      <c r="I759" s="7">
        <f>H759/(180*0.714)</f>
        <v/>
      </c>
    </row>
    <row r="760">
      <c r="A760" s="4" t="inlineStr">
        <is>
          <t>SERV-10756</t>
        </is>
      </c>
      <c r="B760" s="5" t="inlineStr">
        <is>
          <t>Professor da Educação Básica (40h)</t>
        </is>
      </c>
      <c r="C760" s="4" t="inlineStr">
        <is>
          <t>Efetivo Concursado</t>
        </is>
      </c>
      <c r="D760" s="4" t="inlineStr">
        <is>
          <t>SEC-EDU</t>
        </is>
      </c>
      <c r="E760" s="6" t="n">
        <v>5538.88</v>
      </c>
      <c r="F760" s="6">
        <f>E760*0.22</f>
        <v/>
      </c>
      <c r="G760" s="6">
        <f>E760+F760</f>
        <v/>
      </c>
      <c r="H760" s="10" t="n">
        <v>4</v>
      </c>
      <c r="I760" s="7">
        <f>H760/(180*0.714)</f>
        <v/>
      </c>
    </row>
    <row r="761">
      <c r="A761" s="4" t="inlineStr">
        <is>
          <t>SERV-10757</t>
        </is>
      </c>
      <c r="B761" s="5" t="inlineStr">
        <is>
          <t>Professor da Educação Básica (40h)</t>
        </is>
      </c>
      <c r="C761" s="4" t="inlineStr">
        <is>
          <t>Efetivo Concursado</t>
        </is>
      </c>
      <c r="D761" s="4" t="inlineStr">
        <is>
          <t>SEC-EDU</t>
        </is>
      </c>
      <c r="E761" s="6" t="n">
        <v>4965.21</v>
      </c>
      <c r="F761" s="6">
        <f>E761*0.22</f>
        <v/>
      </c>
      <c r="G761" s="6">
        <f>E761+F761</f>
        <v/>
      </c>
      <c r="H761" s="10" t="n">
        <v>7</v>
      </c>
      <c r="I761" s="7">
        <f>H761/(180*0.714)</f>
        <v/>
      </c>
    </row>
    <row r="762">
      <c r="A762" s="4" t="inlineStr">
        <is>
          <t>SERV-10758</t>
        </is>
      </c>
      <c r="B762" s="5" t="inlineStr">
        <is>
          <t>Professor da Educação Básica (40h)</t>
        </is>
      </c>
      <c r="C762" s="4" t="inlineStr">
        <is>
          <t>Efetivo Concursado</t>
        </is>
      </c>
      <c r="D762" s="4" t="inlineStr">
        <is>
          <t>SEC-EDU</t>
        </is>
      </c>
      <c r="E762" s="6" t="n">
        <v>5110.46</v>
      </c>
      <c r="F762" s="6">
        <f>E762*0.22</f>
        <v/>
      </c>
      <c r="G762" s="6">
        <f>E762+F762</f>
        <v/>
      </c>
      <c r="H762" s="10" t="n">
        <v>4</v>
      </c>
      <c r="I762" s="7">
        <f>H762/(180*0.714)</f>
        <v/>
      </c>
    </row>
    <row r="763">
      <c r="A763" s="4" t="inlineStr">
        <is>
          <t>SERV-10759</t>
        </is>
      </c>
      <c r="B763" s="5" t="inlineStr">
        <is>
          <t>Professor da Educação Básica (40h)</t>
        </is>
      </c>
      <c r="C763" s="4" t="inlineStr">
        <is>
          <t>Efetivo Concursado</t>
        </is>
      </c>
      <c r="D763" s="4" t="inlineStr">
        <is>
          <t>SEC-EDU</t>
        </is>
      </c>
      <c r="E763" s="6" t="n">
        <v>4844.21</v>
      </c>
      <c r="F763" s="6">
        <f>E763*0.22</f>
        <v/>
      </c>
      <c r="G763" s="6">
        <f>E763+F763</f>
        <v/>
      </c>
      <c r="H763" s="10" t="n">
        <v>5</v>
      </c>
      <c r="I763" s="7">
        <f>H763/(180*0.714)</f>
        <v/>
      </c>
    </row>
    <row r="764">
      <c r="A764" s="4" t="inlineStr">
        <is>
          <t>SERV-10760</t>
        </is>
      </c>
      <c r="B764" s="5" t="inlineStr">
        <is>
          <t>Professor da Educação Básica (40h)</t>
        </is>
      </c>
      <c r="C764" s="4" t="inlineStr">
        <is>
          <t>Efetivo Concursado</t>
        </is>
      </c>
      <c r="D764" s="4" t="inlineStr">
        <is>
          <t>SEC-EDU</t>
        </is>
      </c>
      <c r="E764" s="6" t="n">
        <v>5425.72</v>
      </c>
      <c r="F764" s="6">
        <f>E764*0.22</f>
        <v/>
      </c>
      <c r="G764" s="6">
        <f>E764+F764</f>
        <v/>
      </c>
      <c r="H764" s="10" t="n">
        <v>5</v>
      </c>
      <c r="I764" s="7">
        <f>H764/(180*0.714)</f>
        <v/>
      </c>
    </row>
    <row r="765">
      <c r="A765" s="4" t="inlineStr">
        <is>
          <t>SERV-10761</t>
        </is>
      </c>
      <c r="B765" s="5" t="inlineStr">
        <is>
          <t>Professor da Educação Básica (40h)</t>
        </is>
      </c>
      <c r="C765" s="4" t="inlineStr">
        <is>
          <t>Efetivo Concursado</t>
        </is>
      </c>
      <c r="D765" s="4" t="inlineStr">
        <is>
          <t>SEC-EDU</t>
        </is>
      </c>
      <c r="E765" s="6" t="n">
        <v>5634.13</v>
      </c>
      <c r="F765" s="6">
        <f>E765*0.22</f>
        <v/>
      </c>
      <c r="G765" s="6">
        <f>E765+F765</f>
        <v/>
      </c>
      <c r="H765" s="10" t="n">
        <v>5</v>
      </c>
      <c r="I765" s="7">
        <f>H765/(180*0.714)</f>
        <v/>
      </c>
    </row>
    <row r="766">
      <c r="A766" s="4" t="inlineStr">
        <is>
          <t>SERV-10762</t>
        </is>
      </c>
      <c r="B766" s="5" t="inlineStr">
        <is>
          <t>Professor da Educação Básica (40h)</t>
        </is>
      </c>
      <c r="C766" s="4" t="inlineStr">
        <is>
          <t>Efetivo Concursado</t>
        </is>
      </c>
      <c r="D766" s="4" t="inlineStr">
        <is>
          <t>SEC-EDU</t>
        </is>
      </c>
      <c r="E766" s="6" t="n">
        <v>5341.23</v>
      </c>
      <c r="F766" s="6">
        <f>E766*0.22</f>
        <v/>
      </c>
      <c r="G766" s="6">
        <f>E766+F766</f>
        <v/>
      </c>
      <c r="H766" s="10" t="n">
        <v>6</v>
      </c>
      <c r="I766" s="7">
        <f>H766/(180*0.714)</f>
        <v/>
      </c>
    </row>
    <row r="767">
      <c r="A767" s="4" t="inlineStr">
        <is>
          <t>SERV-10763</t>
        </is>
      </c>
      <c r="B767" s="5" t="inlineStr">
        <is>
          <t>Professor da Educação Básica (40h)</t>
        </is>
      </c>
      <c r="C767" s="4" t="inlineStr">
        <is>
          <t>Efetivo Concursado</t>
        </is>
      </c>
      <c r="D767" s="4" t="inlineStr">
        <is>
          <t>SEC-EDU</t>
        </is>
      </c>
      <c r="E767" s="6" t="n">
        <v>5272.52</v>
      </c>
      <c r="F767" s="6">
        <f>E767*0.22</f>
        <v/>
      </c>
      <c r="G767" s="6">
        <f>E767+F767</f>
        <v/>
      </c>
      <c r="H767" s="10" t="n">
        <v>5</v>
      </c>
      <c r="I767" s="7">
        <f>H767/(180*0.714)</f>
        <v/>
      </c>
    </row>
    <row r="768">
      <c r="A768" s="4" t="inlineStr">
        <is>
          <t>SERV-10764</t>
        </is>
      </c>
      <c r="B768" s="5" t="inlineStr">
        <is>
          <t>Professor da Educação Básica (40h)</t>
        </is>
      </c>
      <c r="C768" s="4" t="inlineStr">
        <is>
          <t>Efetivo Concursado</t>
        </is>
      </c>
      <c r="D768" s="4" t="inlineStr">
        <is>
          <t>SEC-EDU</t>
        </is>
      </c>
      <c r="E768" s="6" t="n">
        <v>4957.92</v>
      </c>
      <c r="F768" s="6">
        <f>E768*0.22</f>
        <v/>
      </c>
      <c r="G768" s="6">
        <f>E768+F768</f>
        <v/>
      </c>
      <c r="H768" s="10" t="n">
        <v>6</v>
      </c>
      <c r="I768" s="7">
        <f>H768/(180*0.714)</f>
        <v/>
      </c>
    </row>
    <row r="769">
      <c r="A769" s="4" t="inlineStr">
        <is>
          <t>SERV-10765</t>
        </is>
      </c>
      <c r="B769" s="5" t="inlineStr">
        <is>
          <t>Professor da Educação Básica (40h)</t>
        </is>
      </c>
      <c r="C769" s="4" t="inlineStr">
        <is>
          <t>Efetivo Concursado</t>
        </is>
      </c>
      <c r="D769" s="4" t="inlineStr">
        <is>
          <t>SEC-EDU</t>
        </is>
      </c>
      <c r="E769" s="6" t="n">
        <v>5196.89</v>
      </c>
      <c r="F769" s="6">
        <f>E769*0.22</f>
        <v/>
      </c>
      <c r="G769" s="6">
        <f>E769+F769</f>
        <v/>
      </c>
      <c r="H769" s="10" t="n">
        <v>3</v>
      </c>
      <c r="I769" s="7">
        <f>H769/(180*0.714)</f>
        <v/>
      </c>
    </row>
    <row r="770">
      <c r="A770" s="4" t="inlineStr">
        <is>
          <t>SERV-10766</t>
        </is>
      </c>
      <c r="B770" s="5" t="inlineStr">
        <is>
          <t>Professor da Educação Básica (40h)</t>
        </is>
      </c>
      <c r="C770" s="4" t="inlineStr">
        <is>
          <t>Efetivo Concursado</t>
        </is>
      </c>
      <c r="D770" s="4" t="inlineStr">
        <is>
          <t>SEC-EDU</t>
        </is>
      </c>
      <c r="E770" s="6" t="n">
        <v>4856.01</v>
      </c>
      <c r="F770" s="6">
        <f>E770*0.22</f>
        <v/>
      </c>
      <c r="G770" s="6">
        <f>E770+F770</f>
        <v/>
      </c>
      <c r="H770" s="10" t="n">
        <v>2</v>
      </c>
      <c r="I770" s="7">
        <f>H770/(180*0.714)</f>
        <v/>
      </c>
    </row>
    <row r="771">
      <c r="A771" s="4" t="inlineStr">
        <is>
          <t>SERV-10767</t>
        </is>
      </c>
      <c r="B771" s="5" t="inlineStr">
        <is>
          <t>Professor da Educação Básica (40h)</t>
        </is>
      </c>
      <c r="C771" s="4" t="inlineStr">
        <is>
          <t>Efetivo Concursado</t>
        </is>
      </c>
      <c r="D771" s="4" t="inlineStr">
        <is>
          <t>SEC-EDU</t>
        </is>
      </c>
      <c r="E771" s="6" t="n">
        <v>5070.08</v>
      </c>
      <c r="F771" s="6">
        <f>E771*0.22</f>
        <v/>
      </c>
      <c r="G771" s="6">
        <f>E771+F771</f>
        <v/>
      </c>
      <c r="H771" s="10" t="n">
        <v>2</v>
      </c>
      <c r="I771" s="7">
        <f>H771/(180*0.714)</f>
        <v/>
      </c>
    </row>
    <row r="772">
      <c r="A772" s="4" t="inlineStr">
        <is>
          <t>SERV-10768</t>
        </is>
      </c>
      <c r="B772" s="5" t="inlineStr">
        <is>
          <t>Professor da Educação Básica (40h)</t>
        </is>
      </c>
      <c r="C772" s="4" t="inlineStr">
        <is>
          <t>Efetivo Concursado</t>
        </is>
      </c>
      <c r="D772" s="4" t="inlineStr">
        <is>
          <t>SEC-EDU</t>
        </is>
      </c>
      <c r="E772" s="6" t="n">
        <v>5436.26</v>
      </c>
      <c r="F772" s="6">
        <f>E772*0.22</f>
        <v/>
      </c>
      <c r="G772" s="6">
        <f>E772+F772</f>
        <v/>
      </c>
      <c r="H772" s="10" t="n">
        <v>3</v>
      </c>
      <c r="I772" s="7">
        <f>H772/(180*0.714)</f>
        <v/>
      </c>
    </row>
    <row r="773">
      <c r="A773" s="4" t="inlineStr">
        <is>
          <t>SERV-10769</t>
        </is>
      </c>
      <c r="B773" s="5" t="inlineStr">
        <is>
          <t>Professor da Educação Básica (40h)</t>
        </is>
      </c>
      <c r="C773" s="4" t="inlineStr">
        <is>
          <t>Efetivo Concursado</t>
        </is>
      </c>
      <c r="D773" s="4" t="inlineStr">
        <is>
          <t>SEC-EDU</t>
        </is>
      </c>
      <c r="E773" s="6" t="n">
        <v>5250.1</v>
      </c>
      <c r="F773" s="6">
        <f>E773*0.22</f>
        <v/>
      </c>
      <c r="G773" s="6">
        <f>E773+F773</f>
        <v/>
      </c>
      <c r="H773" s="10" t="n">
        <v>5</v>
      </c>
      <c r="I773" s="7">
        <f>H773/(180*0.714)</f>
        <v/>
      </c>
    </row>
    <row r="774">
      <c r="A774" s="4" t="inlineStr">
        <is>
          <t>SERV-10770</t>
        </is>
      </c>
      <c r="B774" s="5" t="inlineStr">
        <is>
          <t>Professor da Educação Básica (40h)</t>
        </is>
      </c>
      <c r="C774" s="4" t="inlineStr">
        <is>
          <t>Efetivo Concursado</t>
        </is>
      </c>
      <c r="D774" s="4" t="inlineStr">
        <is>
          <t>SEC-EDU</t>
        </is>
      </c>
      <c r="E774" s="6" t="n">
        <v>4804.82</v>
      </c>
      <c r="F774" s="6">
        <f>E774*0.22</f>
        <v/>
      </c>
      <c r="G774" s="6">
        <f>E774+F774</f>
        <v/>
      </c>
      <c r="H774" s="10" t="n">
        <v>7</v>
      </c>
      <c r="I774" s="7">
        <f>H774/(180*0.714)</f>
        <v/>
      </c>
    </row>
    <row r="775">
      <c r="A775" s="4" t="inlineStr">
        <is>
          <t>SERV-10771</t>
        </is>
      </c>
      <c r="B775" s="5" t="inlineStr">
        <is>
          <t>Professor da Educação Básica (40h)</t>
        </is>
      </c>
      <c r="C775" s="4" t="inlineStr">
        <is>
          <t>Efetivo Concursado</t>
        </is>
      </c>
      <c r="D775" s="4" t="inlineStr">
        <is>
          <t>SEC-EDU</t>
        </is>
      </c>
      <c r="E775" s="6" t="n">
        <v>5073.92</v>
      </c>
      <c r="F775" s="6">
        <f>E775*0.22</f>
        <v/>
      </c>
      <c r="G775" s="6">
        <f>E775+F775</f>
        <v/>
      </c>
      <c r="H775" s="10" t="n">
        <v>7</v>
      </c>
      <c r="I775" s="7">
        <f>H775/(180*0.714)</f>
        <v/>
      </c>
    </row>
    <row r="776">
      <c r="A776" s="4" t="inlineStr">
        <is>
          <t>SERV-10772</t>
        </is>
      </c>
      <c r="B776" s="5" t="inlineStr">
        <is>
          <t>Professor da Educação Básica (40h)</t>
        </is>
      </c>
      <c r="C776" s="4" t="inlineStr">
        <is>
          <t>Efetivo Concursado</t>
        </is>
      </c>
      <c r="D776" s="4" t="inlineStr">
        <is>
          <t>SEC-EDU</t>
        </is>
      </c>
      <c r="E776" s="6" t="n">
        <v>5199.28</v>
      </c>
      <c r="F776" s="6">
        <f>E776*0.22</f>
        <v/>
      </c>
      <c r="G776" s="6">
        <f>E776+F776</f>
        <v/>
      </c>
      <c r="H776" s="10" t="n">
        <v>6</v>
      </c>
      <c r="I776" s="7">
        <f>H776/(180*0.714)</f>
        <v/>
      </c>
    </row>
    <row r="777">
      <c r="A777" s="4" t="inlineStr">
        <is>
          <t>SERV-10773</t>
        </is>
      </c>
      <c r="B777" s="5" t="inlineStr">
        <is>
          <t>Professor da Educação Básica (40h)</t>
        </is>
      </c>
      <c r="C777" s="4" t="inlineStr">
        <is>
          <t>Efetivo Concursado</t>
        </is>
      </c>
      <c r="D777" s="4" t="inlineStr">
        <is>
          <t>SEC-EDU</t>
        </is>
      </c>
      <c r="E777" s="6" t="n">
        <v>5087.43</v>
      </c>
      <c r="F777" s="6">
        <f>E777*0.22</f>
        <v/>
      </c>
      <c r="G777" s="6">
        <f>E777+F777</f>
        <v/>
      </c>
      <c r="H777" s="10" t="n">
        <v>7</v>
      </c>
      <c r="I777" s="7">
        <f>H777/(180*0.714)</f>
        <v/>
      </c>
    </row>
    <row r="778">
      <c r="A778" s="4" t="inlineStr">
        <is>
          <t>SERV-10774</t>
        </is>
      </c>
      <c r="B778" s="5" t="inlineStr">
        <is>
          <t>Professor da Educação Básica (40h)</t>
        </is>
      </c>
      <c r="C778" s="4" t="inlineStr">
        <is>
          <t>Efetivo Concursado</t>
        </is>
      </c>
      <c r="D778" s="4" t="inlineStr">
        <is>
          <t>SEC-EDU</t>
        </is>
      </c>
      <c r="E778" s="6" t="n">
        <v>5306.25</v>
      </c>
      <c r="F778" s="6">
        <f>E778*0.22</f>
        <v/>
      </c>
      <c r="G778" s="6">
        <f>E778+F778</f>
        <v/>
      </c>
      <c r="H778" s="10" t="n">
        <v>6</v>
      </c>
      <c r="I778" s="7">
        <f>H778/(180*0.714)</f>
        <v/>
      </c>
    </row>
    <row r="779">
      <c r="A779" s="4" t="inlineStr">
        <is>
          <t>SERV-10775</t>
        </is>
      </c>
      <c r="B779" s="5" t="inlineStr">
        <is>
          <t>Professor da Educação Básica (40h)</t>
        </is>
      </c>
      <c r="C779" s="4" t="inlineStr">
        <is>
          <t>Efetivo Concursado</t>
        </is>
      </c>
      <c r="D779" s="4" t="inlineStr">
        <is>
          <t>SEC-EDU</t>
        </is>
      </c>
      <c r="E779" s="6" t="n">
        <v>5295.29</v>
      </c>
      <c r="F779" s="6">
        <f>E779*0.22</f>
        <v/>
      </c>
      <c r="G779" s="6">
        <f>E779+F779</f>
        <v/>
      </c>
      <c r="H779" s="10" t="n">
        <v>5</v>
      </c>
      <c r="I779" s="7">
        <f>H779/(180*0.714)</f>
        <v/>
      </c>
    </row>
    <row r="780">
      <c r="A780" s="4" t="inlineStr">
        <is>
          <t>SERV-10776</t>
        </is>
      </c>
      <c r="B780" s="5" t="inlineStr">
        <is>
          <t>Professor da Educação Básica (40h)</t>
        </is>
      </c>
      <c r="C780" s="4" t="inlineStr">
        <is>
          <t>Efetivo Concursado</t>
        </is>
      </c>
      <c r="D780" s="4" t="inlineStr">
        <is>
          <t>SEC-EDU</t>
        </is>
      </c>
      <c r="E780" s="6" t="n">
        <v>5006.06</v>
      </c>
      <c r="F780" s="6">
        <f>E780*0.22</f>
        <v/>
      </c>
      <c r="G780" s="6">
        <f>E780+F780</f>
        <v/>
      </c>
      <c r="H780" s="10" t="n">
        <v>3</v>
      </c>
      <c r="I780" s="7">
        <f>H780/(180*0.714)</f>
        <v/>
      </c>
    </row>
    <row r="781">
      <c r="A781" s="4" t="inlineStr">
        <is>
          <t>SERV-10777</t>
        </is>
      </c>
      <c r="B781" s="5" t="inlineStr">
        <is>
          <t>Professor da Educação Básica (40h)</t>
        </is>
      </c>
      <c r="C781" s="4" t="inlineStr">
        <is>
          <t>Efetivo Concursado</t>
        </is>
      </c>
      <c r="D781" s="4" t="inlineStr">
        <is>
          <t>SEC-EDU</t>
        </is>
      </c>
      <c r="E781" s="6" t="n">
        <v>5197.39</v>
      </c>
      <c r="F781" s="6">
        <f>E781*0.22</f>
        <v/>
      </c>
      <c r="G781" s="6">
        <f>E781+F781</f>
        <v/>
      </c>
      <c r="H781" s="10" t="n">
        <v>2</v>
      </c>
      <c r="I781" s="7">
        <f>H781/(180*0.714)</f>
        <v/>
      </c>
    </row>
    <row r="782">
      <c r="A782" s="4" t="inlineStr">
        <is>
          <t>SERV-10778</t>
        </is>
      </c>
      <c r="B782" s="5" t="inlineStr">
        <is>
          <t>Professor da Educação Básica (40h)</t>
        </is>
      </c>
      <c r="C782" s="4" t="inlineStr">
        <is>
          <t>Efetivo Concursado</t>
        </is>
      </c>
      <c r="D782" s="4" t="inlineStr">
        <is>
          <t>SEC-EDU</t>
        </is>
      </c>
      <c r="E782" s="6" t="n">
        <v>4911.06</v>
      </c>
      <c r="F782" s="6">
        <f>E782*0.22</f>
        <v/>
      </c>
      <c r="G782" s="6">
        <f>E782+F782</f>
        <v/>
      </c>
      <c r="H782" s="10" t="n">
        <v>4</v>
      </c>
      <c r="I782" s="7">
        <f>H782/(180*0.714)</f>
        <v/>
      </c>
    </row>
    <row r="783">
      <c r="A783" s="4" t="inlineStr">
        <is>
          <t>SERV-10779</t>
        </is>
      </c>
      <c r="B783" s="5" t="inlineStr">
        <is>
          <t>Professor da Educação Básica (40h)</t>
        </is>
      </c>
      <c r="C783" s="4" t="inlineStr">
        <is>
          <t>Efetivo Concursado</t>
        </is>
      </c>
      <c r="D783" s="4" t="inlineStr">
        <is>
          <t>SEC-EDU</t>
        </is>
      </c>
      <c r="E783" s="6" t="n">
        <v>5004.55</v>
      </c>
      <c r="F783" s="6">
        <f>E783*0.22</f>
        <v/>
      </c>
      <c r="G783" s="6">
        <f>E783+F783</f>
        <v/>
      </c>
      <c r="H783" s="10" t="n">
        <v>7</v>
      </c>
      <c r="I783" s="7">
        <f>H783/(180*0.714)</f>
        <v/>
      </c>
    </row>
    <row r="784">
      <c r="A784" s="4" t="inlineStr">
        <is>
          <t>SERV-10780</t>
        </is>
      </c>
      <c r="B784" s="5" t="inlineStr">
        <is>
          <t>Professor da Educação Básica (40h)</t>
        </is>
      </c>
      <c r="C784" s="4" t="inlineStr">
        <is>
          <t>Efetivo Concursado</t>
        </is>
      </c>
      <c r="D784" s="4" t="inlineStr">
        <is>
          <t>SEC-EDU</t>
        </is>
      </c>
      <c r="E784" s="6" t="n">
        <v>5748.71</v>
      </c>
      <c r="F784" s="6">
        <f>E784*0.22</f>
        <v/>
      </c>
      <c r="G784" s="6">
        <f>E784+F784</f>
        <v/>
      </c>
      <c r="H784" s="10" t="n">
        <v>7</v>
      </c>
      <c r="I784" s="7">
        <f>H784/(180*0.714)</f>
        <v/>
      </c>
    </row>
    <row r="785">
      <c r="A785" s="4" t="inlineStr">
        <is>
          <t>SERV-10781</t>
        </is>
      </c>
      <c r="B785" s="5" t="inlineStr">
        <is>
          <t>Professor da Educação Básica (40h)</t>
        </is>
      </c>
      <c r="C785" s="4" t="inlineStr">
        <is>
          <t>Efetivo Concursado</t>
        </is>
      </c>
      <c r="D785" s="4" t="inlineStr">
        <is>
          <t>SEC-EDU</t>
        </is>
      </c>
      <c r="E785" s="6" t="n">
        <v>4822.92</v>
      </c>
      <c r="F785" s="6">
        <f>E785*0.22</f>
        <v/>
      </c>
      <c r="G785" s="6">
        <f>E785+F785</f>
        <v/>
      </c>
      <c r="H785" s="10" t="n">
        <v>2</v>
      </c>
      <c r="I785" s="7">
        <f>H785/(180*0.714)</f>
        <v/>
      </c>
    </row>
    <row r="786">
      <c r="A786" s="4" t="inlineStr">
        <is>
          <t>SERV-10782</t>
        </is>
      </c>
      <c r="B786" s="5" t="inlineStr">
        <is>
          <t>Professor da Educação Básica (40h)</t>
        </is>
      </c>
      <c r="C786" s="4" t="inlineStr">
        <is>
          <t>Efetivo Concursado</t>
        </is>
      </c>
      <c r="D786" s="4" t="inlineStr">
        <is>
          <t>SEC-EDU</t>
        </is>
      </c>
      <c r="E786" s="6" t="n">
        <v>4995.48</v>
      </c>
      <c r="F786" s="6">
        <f>E786*0.22</f>
        <v/>
      </c>
      <c r="G786" s="6">
        <f>E786+F786</f>
        <v/>
      </c>
      <c r="H786" s="10" t="n">
        <v>5</v>
      </c>
      <c r="I786" s="7">
        <f>H786/(180*0.714)</f>
        <v/>
      </c>
    </row>
    <row r="787">
      <c r="A787" s="4" t="inlineStr">
        <is>
          <t>SERV-10783</t>
        </is>
      </c>
      <c r="B787" s="5" t="inlineStr">
        <is>
          <t>Professor da Educação Básica (40h)</t>
        </is>
      </c>
      <c r="C787" s="4" t="inlineStr">
        <is>
          <t>Efetivo Concursado</t>
        </is>
      </c>
      <c r="D787" s="4" t="inlineStr">
        <is>
          <t>SEC-EDU</t>
        </is>
      </c>
      <c r="E787" s="6" t="n">
        <v>5169.06</v>
      </c>
      <c r="F787" s="6">
        <f>E787*0.22</f>
        <v/>
      </c>
      <c r="G787" s="6">
        <f>E787+F787</f>
        <v/>
      </c>
      <c r="H787" s="10" t="n">
        <v>7</v>
      </c>
      <c r="I787" s="7">
        <f>H787/(180*0.714)</f>
        <v/>
      </c>
    </row>
    <row r="788">
      <c r="A788" s="4" t="inlineStr">
        <is>
          <t>SERV-10784</t>
        </is>
      </c>
      <c r="B788" s="5" t="inlineStr">
        <is>
          <t>Professor da Educação Básica (40h)</t>
        </is>
      </c>
      <c r="C788" s="4" t="inlineStr">
        <is>
          <t>Efetivo Concursado</t>
        </is>
      </c>
      <c r="D788" s="4" t="inlineStr">
        <is>
          <t>SEC-EDU</t>
        </is>
      </c>
      <c r="E788" s="6" t="n">
        <v>5453.84</v>
      </c>
      <c r="F788" s="6">
        <f>E788*0.22</f>
        <v/>
      </c>
      <c r="G788" s="6">
        <f>E788+F788</f>
        <v/>
      </c>
      <c r="H788" s="10" t="n">
        <v>7</v>
      </c>
      <c r="I788" s="7">
        <f>H788/(180*0.714)</f>
        <v/>
      </c>
    </row>
    <row r="789">
      <c r="A789" s="4" t="inlineStr">
        <is>
          <t>SERV-10785</t>
        </is>
      </c>
      <c r="B789" s="5" t="inlineStr">
        <is>
          <t>Professor da Educação Básica (40h)</t>
        </is>
      </c>
      <c r="C789" s="4" t="inlineStr">
        <is>
          <t>Efetivo Concursado</t>
        </is>
      </c>
      <c r="D789" s="4" t="inlineStr">
        <is>
          <t>SEC-EDU</t>
        </is>
      </c>
      <c r="E789" s="6" t="n">
        <v>5046.53</v>
      </c>
      <c r="F789" s="6">
        <f>E789*0.22</f>
        <v/>
      </c>
      <c r="G789" s="6">
        <f>E789+F789</f>
        <v/>
      </c>
      <c r="H789" s="10" t="n">
        <v>5</v>
      </c>
      <c r="I789" s="7">
        <f>H789/(180*0.714)</f>
        <v/>
      </c>
    </row>
    <row r="790">
      <c r="A790" s="4" t="inlineStr">
        <is>
          <t>SERV-10786</t>
        </is>
      </c>
      <c r="B790" s="5" t="inlineStr">
        <is>
          <t>Professor da Educação Básica (40h)</t>
        </is>
      </c>
      <c r="C790" s="4" t="inlineStr">
        <is>
          <t>Efetivo Concursado</t>
        </is>
      </c>
      <c r="D790" s="4" t="inlineStr">
        <is>
          <t>SEC-EDU</t>
        </is>
      </c>
      <c r="E790" s="6" t="n">
        <v>5103.8</v>
      </c>
      <c r="F790" s="6">
        <f>E790*0.22</f>
        <v/>
      </c>
      <c r="G790" s="6">
        <f>E790+F790</f>
        <v/>
      </c>
      <c r="H790" s="10" t="n">
        <v>5</v>
      </c>
      <c r="I790" s="7">
        <f>H790/(180*0.714)</f>
        <v/>
      </c>
    </row>
    <row r="791">
      <c r="A791" s="4" t="inlineStr">
        <is>
          <t>SERV-10787</t>
        </is>
      </c>
      <c r="B791" s="5" t="inlineStr">
        <is>
          <t>Professor da Educação Básica (40h)</t>
        </is>
      </c>
      <c r="C791" s="4" t="inlineStr">
        <is>
          <t>Efetivo Concursado</t>
        </is>
      </c>
      <c r="D791" s="4" t="inlineStr">
        <is>
          <t>SEC-EDU</t>
        </is>
      </c>
      <c r="E791" s="6" t="n">
        <v>5278.88</v>
      </c>
      <c r="F791" s="6">
        <f>E791*0.22</f>
        <v/>
      </c>
      <c r="G791" s="6">
        <f>E791+F791</f>
        <v/>
      </c>
      <c r="H791" s="10" t="n">
        <v>5</v>
      </c>
      <c r="I791" s="7">
        <f>H791/(180*0.714)</f>
        <v/>
      </c>
    </row>
    <row r="792">
      <c r="A792" s="4" t="inlineStr">
        <is>
          <t>SERV-10788</t>
        </is>
      </c>
      <c r="B792" s="5" t="inlineStr">
        <is>
          <t>Professor da Educação Básica (40h)</t>
        </is>
      </c>
      <c r="C792" s="4" t="inlineStr">
        <is>
          <t>Efetivo Concursado</t>
        </is>
      </c>
      <c r="D792" s="4" t="inlineStr">
        <is>
          <t>SEC-EDU</t>
        </is>
      </c>
      <c r="E792" s="6" t="n">
        <v>5336.16</v>
      </c>
      <c r="F792" s="6">
        <f>E792*0.22</f>
        <v/>
      </c>
      <c r="G792" s="6">
        <f>E792+F792</f>
        <v/>
      </c>
      <c r="H792" s="10" t="n">
        <v>3</v>
      </c>
      <c r="I792" s="7">
        <f>H792/(180*0.714)</f>
        <v/>
      </c>
    </row>
    <row r="793">
      <c r="A793" s="4" t="inlineStr">
        <is>
          <t>SERV-10789</t>
        </is>
      </c>
      <c r="B793" s="5" t="inlineStr">
        <is>
          <t>Professor da Educação Básica (40h)</t>
        </is>
      </c>
      <c r="C793" s="4" t="inlineStr">
        <is>
          <t>Efetivo Concursado</t>
        </is>
      </c>
      <c r="D793" s="4" t="inlineStr">
        <is>
          <t>SEC-EDU</t>
        </is>
      </c>
      <c r="E793" s="6" t="n">
        <v>5611.85</v>
      </c>
      <c r="F793" s="6">
        <f>E793*0.22</f>
        <v/>
      </c>
      <c r="G793" s="6">
        <f>E793+F793</f>
        <v/>
      </c>
      <c r="H793" s="10" t="n">
        <v>5</v>
      </c>
      <c r="I793" s="7">
        <f>H793/(180*0.714)</f>
        <v/>
      </c>
    </row>
    <row r="794">
      <c r="A794" s="4" t="inlineStr">
        <is>
          <t>SERV-10790</t>
        </is>
      </c>
      <c r="B794" s="5" t="inlineStr">
        <is>
          <t>Professor da Educação Básica (40h)</t>
        </is>
      </c>
      <c r="C794" s="4" t="inlineStr">
        <is>
          <t>Efetivo Concursado</t>
        </is>
      </c>
      <c r="D794" s="4" t="inlineStr">
        <is>
          <t>SEC-EDU</t>
        </is>
      </c>
      <c r="E794" s="6" t="n">
        <v>5490</v>
      </c>
      <c r="F794" s="6">
        <f>E794*0.22</f>
        <v/>
      </c>
      <c r="G794" s="6">
        <f>E794+F794</f>
        <v/>
      </c>
      <c r="H794" s="10" t="n">
        <v>7</v>
      </c>
      <c r="I794" s="7">
        <f>H794/(180*0.714)</f>
        <v/>
      </c>
    </row>
    <row r="795">
      <c r="A795" s="4" t="inlineStr">
        <is>
          <t>SERV-10791</t>
        </is>
      </c>
      <c r="B795" s="5" t="inlineStr">
        <is>
          <t>Professor da Educação Básica (40h)</t>
        </is>
      </c>
      <c r="C795" s="4" t="inlineStr">
        <is>
          <t>Efetivo Concursado</t>
        </is>
      </c>
      <c r="D795" s="4" t="inlineStr">
        <is>
          <t>SEC-EDU</t>
        </is>
      </c>
      <c r="E795" s="6" t="n">
        <v>5267.77</v>
      </c>
      <c r="F795" s="6">
        <f>E795*0.22</f>
        <v/>
      </c>
      <c r="G795" s="6">
        <f>E795+F795</f>
        <v/>
      </c>
      <c r="H795" s="10" t="n">
        <v>2</v>
      </c>
      <c r="I795" s="7">
        <f>H795/(180*0.714)</f>
        <v/>
      </c>
    </row>
    <row r="796">
      <c r="A796" s="4" t="inlineStr">
        <is>
          <t>SERV-10792</t>
        </is>
      </c>
      <c r="B796" s="5" t="inlineStr">
        <is>
          <t>Professor da Educação Básica (40h)</t>
        </is>
      </c>
      <c r="C796" s="4" t="inlineStr">
        <is>
          <t>Efetivo Concursado</t>
        </is>
      </c>
      <c r="D796" s="4" t="inlineStr">
        <is>
          <t>SEC-EDU</t>
        </is>
      </c>
      <c r="E796" s="6" t="n">
        <v>5588.94</v>
      </c>
      <c r="F796" s="6">
        <f>E796*0.22</f>
        <v/>
      </c>
      <c r="G796" s="6">
        <f>E796+F796</f>
        <v/>
      </c>
      <c r="H796" s="10" t="n">
        <v>6</v>
      </c>
      <c r="I796" s="7">
        <f>H796/(180*0.714)</f>
        <v/>
      </c>
    </row>
    <row r="797">
      <c r="A797" s="4" t="inlineStr">
        <is>
          <t>SERV-10793</t>
        </is>
      </c>
      <c r="B797" s="5" t="inlineStr">
        <is>
          <t>Professor da Educação Básica (40h)</t>
        </is>
      </c>
      <c r="C797" s="4" t="inlineStr">
        <is>
          <t>Efetivo Concursado</t>
        </is>
      </c>
      <c r="D797" s="4" t="inlineStr">
        <is>
          <t>SEC-EDU</t>
        </is>
      </c>
      <c r="E797" s="6" t="n">
        <v>5433.29</v>
      </c>
      <c r="F797" s="6">
        <f>E797*0.22</f>
        <v/>
      </c>
      <c r="G797" s="6">
        <f>E797+F797</f>
        <v/>
      </c>
      <c r="H797" s="10" t="n">
        <v>7</v>
      </c>
      <c r="I797" s="7">
        <f>H797/(180*0.714)</f>
        <v/>
      </c>
    </row>
    <row r="798">
      <c r="A798" s="4" t="inlineStr">
        <is>
          <t>SERV-10794</t>
        </is>
      </c>
      <c r="B798" s="5" t="inlineStr">
        <is>
          <t>Professor da Educação Básica (40h)</t>
        </is>
      </c>
      <c r="C798" s="4" t="inlineStr">
        <is>
          <t>Efetivo Concursado</t>
        </is>
      </c>
      <c r="D798" s="4" t="inlineStr">
        <is>
          <t>SEC-EDU</t>
        </is>
      </c>
      <c r="E798" s="6" t="n">
        <v>4832.17</v>
      </c>
      <c r="F798" s="6">
        <f>E798*0.22</f>
        <v/>
      </c>
      <c r="G798" s="6">
        <f>E798+F798</f>
        <v/>
      </c>
      <c r="H798" s="10" t="n">
        <v>3</v>
      </c>
      <c r="I798" s="7">
        <f>H798/(180*0.714)</f>
        <v/>
      </c>
    </row>
    <row r="799">
      <c r="A799" s="4" t="inlineStr">
        <is>
          <t>SERV-10795</t>
        </is>
      </c>
      <c r="B799" s="5" t="inlineStr">
        <is>
          <t>Professor da Educação Básica (40h)</t>
        </is>
      </c>
      <c r="C799" s="4" t="inlineStr">
        <is>
          <t>Efetivo Concursado</t>
        </is>
      </c>
      <c r="D799" s="4" t="inlineStr">
        <is>
          <t>SEC-EDU</t>
        </is>
      </c>
      <c r="E799" s="6" t="n">
        <v>5778.6</v>
      </c>
      <c r="F799" s="6">
        <f>E799*0.22</f>
        <v/>
      </c>
      <c r="G799" s="6">
        <f>E799+F799</f>
        <v/>
      </c>
      <c r="H799" s="10" t="n">
        <v>4</v>
      </c>
      <c r="I799" s="7">
        <f>H799/(180*0.714)</f>
        <v/>
      </c>
    </row>
    <row r="800">
      <c r="A800" s="4" t="inlineStr">
        <is>
          <t>SERV-10796</t>
        </is>
      </c>
      <c r="B800" s="5" t="inlineStr">
        <is>
          <t>Professor da Educação Básica (40h)</t>
        </is>
      </c>
      <c r="C800" s="4" t="inlineStr">
        <is>
          <t>Efetivo Concursado</t>
        </is>
      </c>
      <c r="D800" s="4" t="inlineStr">
        <is>
          <t>SEC-EDU</t>
        </is>
      </c>
      <c r="E800" s="6" t="n">
        <v>5635.4</v>
      </c>
      <c r="F800" s="6">
        <f>E800*0.22</f>
        <v/>
      </c>
      <c r="G800" s="6">
        <f>E800+F800</f>
        <v/>
      </c>
      <c r="H800" s="10" t="n">
        <v>7</v>
      </c>
      <c r="I800" s="7">
        <f>H800/(180*0.714)</f>
        <v/>
      </c>
    </row>
    <row r="801">
      <c r="A801" s="4" t="inlineStr">
        <is>
          <t>SERV-10797</t>
        </is>
      </c>
      <c r="B801" s="5" t="inlineStr">
        <is>
          <t>Professor da Educação Básica (40h)</t>
        </is>
      </c>
      <c r="C801" s="4" t="inlineStr">
        <is>
          <t>Efetivo Concursado</t>
        </is>
      </c>
      <c r="D801" s="4" t="inlineStr">
        <is>
          <t>SEC-EDU</t>
        </is>
      </c>
      <c r="E801" s="6" t="n">
        <v>5343.52</v>
      </c>
      <c r="F801" s="6">
        <f>E801*0.22</f>
        <v/>
      </c>
      <c r="G801" s="6">
        <f>E801+F801</f>
        <v/>
      </c>
      <c r="H801" s="10" t="n">
        <v>2</v>
      </c>
      <c r="I801" s="7">
        <f>H801/(180*0.714)</f>
        <v/>
      </c>
    </row>
    <row r="802">
      <c r="A802" s="4" t="inlineStr">
        <is>
          <t>SERV-10798</t>
        </is>
      </c>
      <c r="B802" s="5" t="inlineStr">
        <is>
          <t>Professor da Educação Básica (40h)</t>
        </is>
      </c>
      <c r="C802" s="4" t="inlineStr">
        <is>
          <t>Efetivo Concursado</t>
        </is>
      </c>
      <c r="D802" s="4" t="inlineStr">
        <is>
          <t>SEC-EDU</t>
        </is>
      </c>
      <c r="E802" s="6" t="n">
        <v>5602.18</v>
      </c>
      <c r="F802" s="6">
        <f>E802*0.22</f>
        <v/>
      </c>
      <c r="G802" s="6">
        <f>E802+F802</f>
        <v/>
      </c>
      <c r="H802" s="10" t="n">
        <v>3</v>
      </c>
      <c r="I802" s="7">
        <f>H802/(180*0.714)</f>
        <v/>
      </c>
    </row>
    <row r="803">
      <c r="A803" s="4" t="inlineStr">
        <is>
          <t>SERV-10799</t>
        </is>
      </c>
      <c r="B803" s="5" t="inlineStr">
        <is>
          <t>Professor da Educação Básica (40h)</t>
        </is>
      </c>
      <c r="C803" s="4" t="inlineStr">
        <is>
          <t>Efetivo Concursado</t>
        </is>
      </c>
      <c r="D803" s="4" t="inlineStr">
        <is>
          <t>SEC-EDU</t>
        </is>
      </c>
      <c r="E803" s="6" t="n">
        <v>4869.9</v>
      </c>
      <c r="F803" s="6">
        <f>E803*0.22</f>
        <v/>
      </c>
      <c r="G803" s="6">
        <f>E803+F803</f>
        <v/>
      </c>
      <c r="H803" s="10" t="n">
        <v>5</v>
      </c>
      <c r="I803" s="7">
        <f>H803/(180*0.714)</f>
        <v/>
      </c>
    </row>
    <row r="804">
      <c r="A804" s="4" t="inlineStr">
        <is>
          <t>SERV-10800</t>
        </is>
      </c>
      <c r="B804" s="5" t="inlineStr">
        <is>
          <t>Professor da Educação Básica (40h)</t>
        </is>
      </c>
      <c r="C804" s="4" t="inlineStr">
        <is>
          <t>Efetivo Concursado</t>
        </is>
      </c>
      <c r="D804" s="4" t="inlineStr">
        <is>
          <t>SEC-EDU</t>
        </is>
      </c>
      <c r="E804" s="6" t="n">
        <v>5350.86</v>
      </c>
      <c r="F804" s="6">
        <f>E804*0.22</f>
        <v/>
      </c>
      <c r="G804" s="6">
        <f>E804+F804</f>
        <v/>
      </c>
      <c r="H804" s="10" t="n">
        <v>5</v>
      </c>
      <c r="I804" s="7">
        <f>H804/(180*0.714)</f>
        <v/>
      </c>
    </row>
    <row r="805">
      <c r="A805" s="4" t="inlineStr">
        <is>
          <t>SERV-10801</t>
        </is>
      </c>
      <c r="B805" s="5" t="inlineStr">
        <is>
          <t>Professor da Educação Básica (40h)</t>
        </is>
      </c>
      <c r="C805" s="4" t="inlineStr">
        <is>
          <t>Efetivo Concursado</t>
        </is>
      </c>
      <c r="D805" s="4" t="inlineStr">
        <is>
          <t>SEC-EDU</t>
        </is>
      </c>
      <c r="E805" s="6" t="n">
        <v>5791.65</v>
      </c>
      <c r="F805" s="6">
        <f>E805*0.22</f>
        <v/>
      </c>
      <c r="G805" s="6">
        <f>E805+F805</f>
        <v/>
      </c>
      <c r="H805" s="10" t="n">
        <v>4</v>
      </c>
      <c r="I805" s="7">
        <f>H805/(180*0.714)</f>
        <v/>
      </c>
    </row>
    <row r="806">
      <c r="A806" s="4" t="inlineStr">
        <is>
          <t>SERV-10802</t>
        </is>
      </c>
      <c r="B806" s="5" t="inlineStr">
        <is>
          <t>Professor da Educação Básica (40h)</t>
        </is>
      </c>
      <c r="C806" s="4" t="inlineStr">
        <is>
          <t>Efetivo Concursado</t>
        </is>
      </c>
      <c r="D806" s="4" t="inlineStr">
        <is>
          <t>SEC-EDU</t>
        </is>
      </c>
      <c r="E806" s="6" t="n">
        <v>5276</v>
      </c>
      <c r="F806" s="6">
        <f>E806*0.22</f>
        <v/>
      </c>
      <c r="G806" s="6">
        <f>E806+F806</f>
        <v/>
      </c>
      <c r="H806" s="10" t="n">
        <v>5</v>
      </c>
      <c r="I806" s="7">
        <f>H806/(180*0.714)</f>
        <v/>
      </c>
    </row>
    <row r="807">
      <c r="A807" s="4" t="inlineStr">
        <is>
          <t>SERV-10803</t>
        </is>
      </c>
      <c r="B807" s="5" t="inlineStr">
        <is>
          <t>Professor da Educação Básica (40h)</t>
        </is>
      </c>
      <c r="C807" s="4" t="inlineStr">
        <is>
          <t>Efetivo Concursado</t>
        </is>
      </c>
      <c r="D807" s="4" t="inlineStr">
        <is>
          <t>SEC-EDU</t>
        </is>
      </c>
      <c r="E807" s="6" t="n">
        <v>4999.72</v>
      </c>
      <c r="F807" s="6">
        <f>E807*0.22</f>
        <v/>
      </c>
      <c r="G807" s="6">
        <f>E807+F807</f>
        <v/>
      </c>
      <c r="H807" s="10" t="n">
        <v>4</v>
      </c>
      <c r="I807" s="7">
        <f>H807/(180*0.714)</f>
        <v/>
      </c>
    </row>
    <row r="808">
      <c r="A808" s="4" t="inlineStr">
        <is>
          <t>SERV-10804</t>
        </is>
      </c>
      <c r="B808" s="5" t="inlineStr">
        <is>
          <t>Professor da Educação Básica (40h)</t>
        </is>
      </c>
      <c r="C808" s="4" t="inlineStr">
        <is>
          <t>Efetivo Concursado</t>
        </is>
      </c>
      <c r="D808" s="4" t="inlineStr">
        <is>
          <t>SEC-EDU</t>
        </is>
      </c>
      <c r="E808" s="6" t="n">
        <v>5310.55</v>
      </c>
      <c r="F808" s="6">
        <f>E808*0.22</f>
        <v/>
      </c>
      <c r="G808" s="6">
        <f>E808+F808</f>
        <v/>
      </c>
      <c r="H808" s="10" t="n">
        <v>7</v>
      </c>
      <c r="I808" s="7">
        <f>H808/(180*0.714)</f>
        <v/>
      </c>
    </row>
    <row r="809">
      <c r="A809" s="4" t="inlineStr">
        <is>
          <t>SERV-10805</t>
        </is>
      </c>
      <c r="B809" s="5" t="inlineStr">
        <is>
          <t>Professor da Educação Básica (40h)</t>
        </is>
      </c>
      <c r="C809" s="4" t="inlineStr">
        <is>
          <t>Efetivo Concursado</t>
        </is>
      </c>
      <c r="D809" s="4" t="inlineStr">
        <is>
          <t>SEC-EDU</t>
        </is>
      </c>
      <c r="E809" s="6" t="n">
        <v>5455.38</v>
      </c>
      <c r="F809" s="6">
        <f>E809*0.22</f>
        <v/>
      </c>
      <c r="G809" s="6">
        <f>E809+F809</f>
        <v/>
      </c>
      <c r="H809" s="10" t="n">
        <v>6</v>
      </c>
      <c r="I809" s="7">
        <f>H809/(180*0.714)</f>
        <v/>
      </c>
    </row>
    <row r="810">
      <c r="A810" s="4" t="inlineStr">
        <is>
          <t>SERV-10806</t>
        </is>
      </c>
      <c r="B810" s="5" t="inlineStr">
        <is>
          <t>Professor da Educação Básica (40h)</t>
        </is>
      </c>
      <c r="C810" s="4" t="inlineStr">
        <is>
          <t>Efetivo Concursado</t>
        </is>
      </c>
      <c r="D810" s="4" t="inlineStr">
        <is>
          <t>SEC-EDU</t>
        </is>
      </c>
      <c r="E810" s="6" t="n">
        <v>5003.26</v>
      </c>
      <c r="F810" s="6">
        <f>E810*0.22</f>
        <v/>
      </c>
      <c r="G810" s="6">
        <f>E810+F810</f>
        <v/>
      </c>
      <c r="H810" s="10" t="n">
        <v>2</v>
      </c>
      <c r="I810" s="7">
        <f>H810/(180*0.714)</f>
        <v/>
      </c>
    </row>
    <row r="811">
      <c r="A811" s="4" t="inlineStr">
        <is>
          <t>SERV-10807</t>
        </is>
      </c>
      <c r="B811" s="5" t="inlineStr">
        <is>
          <t>Professor da Educação Básica (40h)</t>
        </is>
      </c>
      <c r="C811" s="4" t="inlineStr">
        <is>
          <t>Efetivo Concursado</t>
        </is>
      </c>
      <c r="D811" s="4" t="inlineStr">
        <is>
          <t>SEC-EDU</t>
        </is>
      </c>
      <c r="E811" s="6" t="n">
        <v>4934.37</v>
      </c>
      <c r="F811" s="6">
        <f>E811*0.22</f>
        <v/>
      </c>
      <c r="G811" s="6">
        <f>E811+F811</f>
        <v/>
      </c>
      <c r="H811" s="10" t="n">
        <v>4</v>
      </c>
      <c r="I811" s="7">
        <f>H811/(180*0.714)</f>
        <v/>
      </c>
    </row>
    <row r="812">
      <c r="A812" s="4" t="inlineStr">
        <is>
          <t>SERV-10808</t>
        </is>
      </c>
      <c r="B812" s="5" t="inlineStr">
        <is>
          <t>Professor da Educação Básica (40h)</t>
        </is>
      </c>
      <c r="C812" s="4" t="inlineStr">
        <is>
          <t>Efetivo Concursado</t>
        </is>
      </c>
      <c r="D812" s="4" t="inlineStr">
        <is>
          <t>SEC-EDU</t>
        </is>
      </c>
      <c r="E812" s="6" t="n">
        <v>5406.54</v>
      </c>
      <c r="F812" s="6">
        <f>E812*0.22</f>
        <v/>
      </c>
      <c r="G812" s="6">
        <f>E812+F812</f>
        <v/>
      </c>
      <c r="H812" s="10" t="n">
        <v>2</v>
      </c>
      <c r="I812" s="7">
        <f>H812/(180*0.714)</f>
        <v/>
      </c>
    </row>
    <row r="813">
      <c r="A813" s="4" t="inlineStr">
        <is>
          <t>SERV-10809</t>
        </is>
      </c>
      <c r="B813" s="5" t="inlineStr">
        <is>
          <t>Professor da Educação Básica (40h)</t>
        </is>
      </c>
      <c r="C813" s="4" t="inlineStr">
        <is>
          <t>Efetivo Concursado</t>
        </is>
      </c>
      <c r="D813" s="4" t="inlineStr">
        <is>
          <t>SEC-EDU</t>
        </is>
      </c>
      <c r="E813" s="6" t="n">
        <v>4890.02</v>
      </c>
      <c r="F813" s="6">
        <f>E813*0.22</f>
        <v/>
      </c>
      <c r="G813" s="6">
        <f>E813+F813</f>
        <v/>
      </c>
      <c r="H813" s="10" t="n">
        <v>6</v>
      </c>
      <c r="I813" s="7">
        <f>H813/(180*0.714)</f>
        <v/>
      </c>
    </row>
    <row r="814">
      <c r="A814" s="4" t="inlineStr">
        <is>
          <t>SERV-10810</t>
        </is>
      </c>
      <c r="B814" s="5" t="inlineStr">
        <is>
          <t>Professor da Educação Básica (40h)</t>
        </is>
      </c>
      <c r="C814" s="4" t="inlineStr">
        <is>
          <t>Efetivo Concursado</t>
        </is>
      </c>
      <c r="D814" s="4" t="inlineStr">
        <is>
          <t>SEC-EDU</t>
        </is>
      </c>
      <c r="E814" s="6" t="n">
        <v>5462.61</v>
      </c>
      <c r="F814" s="6">
        <f>E814*0.22</f>
        <v/>
      </c>
      <c r="G814" s="6">
        <f>E814+F814</f>
        <v/>
      </c>
      <c r="H814" s="10" t="n">
        <v>7</v>
      </c>
      <c r="I814" s="7">
        <f>H814/(180*0.714)</f>
        <v/>
      </c>
    </row>
    <row r="815">
      <c r="A815" s="4" t="inlineStr">
        <is>
          <t>SERV-10811</t>
        </is>
      </c>
      <c r="B815" s="5" t="inlineStr">
        <is>
          <t>Professor da Educação Básica (40h)</t>
        </is>
      </c>
      <c r="C815" s="4" t="inlineStr">
        <is>
          <t>Efetivo Concursado</t>
        </is>
      </c>
      <c r="D815" s="4" t="inlineStr">
        <is>
          <t>SEC-EDU</t>
        </is>
      </c>
      <c r="E815" s="6" t="n">
        <v>5269.08</v>
      </c>
      <c r="F815" s="6">
        <f>E815*0.22</f>
        <v/>
      </c>
      <c r="G815" s="6">
        <f>E815+F815</f>
        <v/>
      </c>
      <c r="H815" s="10" t="n">
        <v>4</v>
      </c>
      <c r="I815" s="7">
        <f>H815/(180*0.714)</f>
        <v/>
      </c>
    </row>
    <row r="816">
      <c r="A816" s="4" t="inlineStr">
        <is>
          <t>SERV-10812</t>
        </is>
      </c>
      <c r="B816" s="5" t="inlineStr">
        <is>
          <t>Professor da Educação Básica (40h)</t>
        </is>
      </c>
      <c r="C816" s="4" t="inlineStr">
        <is>
          <t>Efetivo Concursado</t>
        </is>
      </c>
      <c r="D816" s="4" t="inlineStr">
        <is>
          <t>SEC-EDU</t>
        </is>
      </c>
      <c r="E816" s="6" t="n">
        <v>5514.48</v>
      </c>
      <c r="F816" s="6">
        <f>E816*0.22</f>
        <v/>
      </c>
      <c r="G816" s="6">
        <f>E816+F816</f>
        <v/>
      </c>
      <c r="H816" s="10" t="n">
        <v>4</v>
      </c>
      <c r="I816" s="7">
        <f>H816/(180*0.714)</f>
        <v/>
      </c>
    </row>
    <row r="817">
      <c r="A817" s="4" t="inlineStr">
        <is>
          <t>SERV-10813</t>
        </is>
      </c>
      <c r="B817" s="5" t="inlineStr">
        <is>
          <t>Professor da Educação Básica (40h)</t>
        </is>
      </c>
      <c r="C817" s="4" t="inlineStr">
        <is>
          <t>Efetivo Concursado</t>
        </is>
      </c>
      <c r="D817" s="4" t="inlineStr">
        <is>
          <t>SEC-EDU</t>
        </is>
      </c>
      <c r="E817" s="6" t="n">
        <v>5309.02</v>
      </c>
      <c r="F817" s="6">
        <f>E817*0.22</f>
        <v/>
      </c>
      <c r="G817" s="6">
        <f>E817+F817</f>
        <v/>
      </c>
      <c r="H817" s="10" t="n">
        <v>5</v>
      </c>
      <c r="I817" s="7">
        <f>H817/(180*0.714)</f>
        <v/>
      </c>
    </row>
    <row r="818">
      <c r="A818" s="4" t="inlineStr">
        <is>
          <t>SERV-10814</t>
        </is>
      </c>
      <c r="B818" s="5" t="inlineStr">
        <is>
          <t>Professor da Educação Básica (40h)</t>
        </is>
      </c>
      <c r="C818" s="4" t="inlineStr">
        <is>
          <t>Efetivo Concursado</t>
        </is>
      </c>
      <c r="D818" s="4" t="inlineStr">
        <is>
          <t>SEC-EDU</t>
        </is>
      </c>
      <c r="E818" s="6" t="n">
        <v>4785.81</v>
      </c>
      <c r="F818" s="6">
        <f>E818*0.22</f>
        <v/>
      </c>
      <c r="G818" s="6">
        <f>E818+F818</f>
        <v/>
      </c>
      <c r="H818" s="10" t="n">
        <v>2</v>
      </c>
      <c r="I818" s="7">
        <f>H818/(180*0.714)</f>
        <v/>
      </c>
    </row>
    <row r="819">
      <c r="A819" s="4" t="inlineStr">
        <is>
          <t>SERV-10815</t>
        </is>
      </c>
      <c r="B819" s="5" t="inlineStr">
        <is>
          <t>Professor da Educação Básica (40h)</t>
        </is>
      </c>
      <c r="C819" s="4" t="inlineStr">
        <is>
          <t>Efetivo Concursado</t>
        </is>
      </c>
      <c r="D819" s="4" t="inlineStr">
        <is>
          <t>SEC-EDU</t>
        </is>
      </c>
      <c r="E819" s="6" t="n">
        <v>4976.96</v>
      </c>
      <c r="F819" s="6">
        <f>E819*0.22</f>
        <v/>
      </c>
      <c r="G819" s="6">
        <f>E819+F819</f>
        <v/>
      </c>
      <c r="H819" s="10" t="n">
        <v>5</v>
      </c>
      <c r="I819" s="7">
        <f>H819/(180*0.714)</f>
        <v/>
      </c>
    </row>
    <row r="820">
      <c r="A820" s="4" t="inlineStr">
        <is>
          <t>SERV-10816</t>
        </is>
      </c>
      <c r="B820" s="5" t="inlineStr">
        <is>
          <t>Professor da Educação Básica (40h)</t>
        </is>
      </c>
      <c r="C820" s="4" t="inlineStr">
        <is>
          <t>Efetivo Concursado</t>
        </is>
      </c>
      <c r="D820" s="4" t="inlineStr">
        <is>
          <t>SEC-EDU</t>
        </is>
      </c>
      <c r="E820" s="6" t="n">
        <v>5546</v>
      </c>
      <c r="F820" s="6">
        <f>E820*0.22</f>
        <v/>
      </c>
      <c r="G820" s="6">
        <f>E820+F820</f>
        <v/>
      </c>
      <c r="H820" s="10" t="n">
        <v>5</v>
      </c>
      <c r="I820" s="7">
        <f>H820/(180*0.714)</f>
        <v/>
      </c>
    </row>
    <row r="821">
      <c r="A821" s="4" t="inlineStr">
        <is>
          <t>SERV-10817</t>
        </is>
      </c>
      <c r="B821" s="5" t="inlineStr">
        <is>
          <t>Professor da Educação Básica (40h)</t>
        </is>
      </c>
      <c r="C821" s="4" t="inlineStr">
        <is>
          <t>Efetivo Concursado</t>
        </is>
      </c>
      <c r="D821" s="4" t="inlineStr">
        <is>
          <t>SEC-EDU</t>
        </is>
      </c>
      <c r="E821" s="6" t="n">
        <v>5309.48</v>
      </c>
      <c r="F821" s="6">
        <f>E821*0.22</f>
        <v/>
      </c>
      <c r="G821" s="6">
        <f>E821+F821</f>
        <v/>
      </c>
      <c r="H821" s="10" t="n">
        <v>7</v>
      </c>
      <c r="I821" s="7">
        <f>H821/(180*0.714)</f>
        <v/>
      </c>
    </row>
    <row r="822">
      <c r="A822" s="4" t="inlineStr">
        <is>
          <t>SERV-10818</t>
        </is>
      </c>
      <c r="B822" s="5" t="inlineStr">
        <is>
          <t>Professor da Educação Básica (40h)</t>
        </is>
      </c>
      <c r="C822" s="4" t="inlineStr">
        <is>
          <t>Efetivo Concursado</t>
        </is>
      </c>
      <c r="D822" s="4" t="inlineStr">
        <is>
          <t>SEC-EDU</t>
        </is>
      </c>
      <c r="E822" s="6" t="n">
        <v>5507.32</v>
      </c>
      <c r="F822" s="6">
        <f>E822*0.22</f>
        <v/>
      </c>
      <c r="G822" s="6">
        <f>E822+F822</f>
        <v/>
      </c>
      <c r="H822" s="10" t="n">
        <v>6</v>
      </c>
      <c r="I822" s="7">
        <f>H822/(180*0.714)</f>
        <v/>
      </c>
    </row>
    <row r="823">
      <c r="A823" s="4" t="inlineStr">
        <is>
          <t>SERV-10819</t>
        </is>
      </c>
      <c r="B823" s="5" t="inlineStr">
        <is>
          <t>Professor da Educação Básica (40h)</t>
        </is>
      </c>
      <c r="C823" s="4" t="inlineStr">
        <is>
          <t>Efetivo Concursado</t>
        </is>
      </c>
      <c r="D823" s="4" t="inlineStr">
        <is>
          <t>SEC-EDU</t>
        </is>
      </c>
      <c r="E823" s="6" t="n">
        <v>5541.75</v>
      </c>
      <c r="F823" s="6">
        <f>E823*0.22</f>
        <v/>
      </c>
      <c r="G823" s="6">
        <f>E823+F823</f>
        <v/>
      </c>
      <c r="H823" s="10" t="n">
        <v>6</v>
      </c>
      <c r="I823" s="7">
        <f>H823/(180*0.714)</f>
        <v/>
      </c>
    </row>
    <row r="824">
      <c r="A824" s="4" t="inlineStr">
        <is>
          <t>SERV-10820</t>
        </is>
      </c>
      <c r="B824" s="5" t="inlineStr">
        <is>
          <t>Professor da Educação Básica (40h)</t>
        </is>
      </c>
      <c r="C824" s="4" t="inlineStr">
        <is>
          <t>Efetivo Concursado</t>
        </is>
      </c>
      <c r="D824" s="4" t="inlineStr">
        <is>
          <t>SEC-EDU</t>
        </is>
      </c>
      <c r="E824" s="6" t="n">
        <v>5275.61</v>
      </c>
      <c r="F824" s="6">
        <f>E824*0.22</f>
        <v/>
      </c>
      <c r="G824" s="6">
        <f>E824+F824</f>
        <v/>
      </c>
      <c r="H824" s="10" t="n">
        <v>6</v>
      </c>
      <c r="I824" s="7">
        <f>H824/(180*0.714)</f>
        <v/>
      </c>
    </row>
    <row r="825">
      <c r="A825" s="4" t="inlineStr">
        <is>
          <t>SERV-10821</t>
        </is>
      </c>
      <c r="B825" s="5" t="inlineStr">
        <is>
          <t>Professor da Educação Básica (40h)</t>
        </is>
      </c>
      <c r="C825" s="4" t="inlineStr">
        <is>
          <t>Efetivo Concursado</t>
        </is>
      </c>
      <c r="D825" s="4" t="inlineStr">
        <is>
          <t>SEC-EDU</t>
        </is>
      </c>
      <c r="E825" s="6" t="n">
        <v>5481.28</v>
      </c>
      <c r="F825" s="6">
        <f>E825*0.22</f>
        <v/>
      </c>
      <c r="G825" s="6">
        <f>E825+F825</f>
        <v/>
      </c>
      <c r="H825" s="10" t="n">
        <v>7</v>
      </c>
      <c r="I825" s="7">
        <f>H825/(180*0.714)</f>
        <v/>
      </c>
    </row>
    <row r="826">
      <c r="A826" s="4" t="inlineStr">
        <is>
          <t>SERV-10822</t>
        </is>
      </c>
      <c r="B826" s="5" t="inlineStr">
        <is>
          <t>Professor da Educação Básica (40h)</t>
        </is>
      </c>
      <c r="C826" s="4" t="inlineStr">
        <is>
          <t>Efetivo Concursado</t>
        </is>
      </c>
      <c r="D826" s="4" t="inlineStr">
        <is>
          <t>SEC-EDU</t>
        </is>
      </c>
      <c r="E826" s="6" t="n">
        <v>5215.79</v>
      </c>
      <c r="F826" s="6">
        <f>E826*0.22</f>
        <v/>
      </c>
      <c r="G826" s="6">
        <f>E826+F826</f>
        <v/>
      </c>
      <c r="H826" s="10" t="n">
        <v>2</v>
      </c>
      <c r="I826" s="7">
        <f>H826/(180*0.714)</f>
        <v/>
      </c>
    </row>
    <row r="827">
      <c r="A827" s="4" t="inlineStr">
        <is>
          <t>SERV-10823</t>
        </is>
      </c>
      <c r="B827" s="5" t="inlineStr">
        <is>
          <t>Professor da Educação Básica (40h)</t>
        </is>
      </c>
      <c r="C827" s="4" t="inlineStr">
        <is>
          <t>Efetivo Concursado</t>
        </is>
      </c>
      <c r="D827" s="4" t="inlineStr">
        <is>
          <t>SEC-EDU</t>
        </is>
      </c>
      <c r="E827" s="6" t="n">
        <v>5016</v>
      </c>
      <c r="F827" s="6">
        <f>E827*0.22</f>
        <v/>
      </c>
      <c r="G827" s="6">
        <f>E827+F827</f>
        <v/>
      </c>
      <c r="H827" s="10" t="n">
        <v>6</v>
      </c>
      <c r="I827" s="7">
        <f>H827/(180*0.714)</f>
        <v/>
      </c>
    </row>
    <row r="828">
      <c r="A828" s="4" t="inlineStr">
        <is>
          <t>SERV-10824</t>
        </is>
      </c>
      <c r="B828" s="5" t="inlineStr">
        <is>
          <t>Professor da Educação Básica (40h)</t>
        </is>
      </c>
      <c r="C828" s="4" t="inlineStr">
        <is>
          <t>Efetivo Concursado</t>
        </is>
      </c>
      <c r="D828" s="4" t="inlineStr">
        <is>
          <t>SEC-EDU</t>
        </is>
      </c>
      <c r="E828" s="6" t="n">
        <v>4820.77</v>
      </c>
      <c r="F828" s="6">
        <f>E828*0.22</f>
        <v/>
      </c>
      <c r="G828" s="6">
        <f>E828+F828</f>
        <v/>
      </c>
      <c r="H828" s="10" t="n">
        <v>2</v>
      </c>
      <c r="I828" s="7">
        <f>H828/(180*0.714)</f>
        <v/>
      </c>
    </row>
    <row r="829">
      <c r="A829" s="4" t="inlineStr">
        <is>
          <t>SERV-10825</t>
        </is>
      </c>
      <c r="B829" s="5" t="inlineStr">
        <is>
          <t>Professor da Educação Básica (40h)</t>
        </is>
      </c>
      <c r="C829" s="4" t="inlineStr">
        <is>
          <t>Efetivo Concursado</t>
        </is>
      </c>
      <c r="D829" s="4" t="inlineStr">
        <is>
          <t>SEC-EDU</t>
        </is>
      </c>
      <c r="E829" s="6" t="n">
        <v>5213.12</v>
      </c>
      <c r="F829" s="6">
        <f>E829*0.22</f>
        <v/>
      </c>
      <c r="G829" s="6">
        <f>E829+F829</f>
        <v/>
      </c>
      <c r="H829" s="10" t="n">
        <v>2</v>
      </c>
      <c r="I829" s="7">
        <f>H829/(180*0.714)</f>
        <v/>
      </c>
    </row>
    <row r="830">
      <c r="A830" s="4" t="inlineStr">
        <is>
          <t>SERV-10826</t>
        </is>
      </c>
      <c r="B830" s="5" t="inlineStr">
        <is>
          <t>Professor da Educação Básica (40h)</t>
        </is>
      </c>
      <c r="C830" s="4" t="inlineStr">
        <is>
          <t>Efetivo Concursado</t>
        </is>
      </c>
      <c r="D830" s="4" t="inlineStr">
        <is>
          <t>SEC-EDU</t>
        </is>
      </c>
      <c r="E830" s="6" t="n">
        <v>4803.8</v>
      </c>
      <c r="F830" s="6">
        <f>E830*0.22</f>
        <v/>
      </c>
      <c r="G830" s="6">
        <f>E830+F830</f>
        <v/>
      </c>
      <c r="H830" s="10" t="n">
        <v>2</v>
      </c>
      <c r="I830" s="7">
        <f>H830/(180*0.714)</f>
        <v/>
      </c>
    </row>
    <row r="831">
      <c r="A831" s="4" t="inlineStr">
        <is>
          <t>SERV-10827</t>
        </is>
      </c>
      <c r="B831" s="5" t="inlineStr">
        <is>
          <t>Professor da Educação Básica (40h)</t>
        </is>
      </c>
      <c r="C831" s="4" t="inlineStr">
        <is>
          <t>Efetivo Concursado</t>
        </is>
      </c>
      <c r="D831" s="4" t="inlineStr">
        <is>
          <t>SEC-EDU</t>
        </is>
      </c>
      <c r="E831" s="6" t="n">
        <v>5306.93</v>
      </c>
      <c r="F831" s="6">
        <f>E831*0.22</f>
        <v/>
      </c>
      <c r="G831" s="6">
        <f>E831+F831</f>
        <v/>
      </c>
      <c r="H831" s="10" t="n">
        <v>2</v>
      </c>
      <c r="I831" s="7">
        <f>H831/(180*0.714)</f>
        <v/>
      </c>
    </row>
    <row r="832">
      <c r="A832" s="4" t="inlineStr">
        <is>
          <t>SERV-10828</t>
        </is>
      </c>
      <c r="B832" s="5" t="inlineStr">
        <is>
          <t>Professor da Educação Básica (40h)</t>
        </is>
      </c>
      <c r="C832" s="4" t="inlineStr">
        <is>
          <t>Efetivo Concursado</t>
        </is>
      </c>
      <c r="D832" s="4" t="inlineStr">
        <is>
          <t>SEC-EDU</t>
        </is>
      </c>
      <c r="E832" s="6" t="n">
        <v>5078.21</v>
      </c>
      <c r="F832" s="6">
        <f>E832*0.22</f>
        <v/>
      </c>
      <c r="G832" s="6">
        <f>E832+F832</f>
        <v/>
      </c>
      <c r="H832" s="10" t="n">
        <v>4</v>
      </c>
      <c r="I832" s="7">
        <f>H832/(180*0.714)</f>
        <v/>
      </c>
    </row>
    <row r="833">
      <c r="A833" s="4" t="inlineStr">
        <is>
          <t>SERV-10829</t>
        </is>
      </c>
      <c r="B833" s="5" t="inlineStr">
        <is>
          <t>Professor da Educação Básica (40h)</t>
        </is>
      </c>
      <c r="C833" s="4" t="inlineStr">
        <is>
          <t>Efetivo Concursado</t>
        </is>
      </c>
      <c r="D833" s="4" t="inlineStr">
        <is>
          <t>SEC-EDU</t>
        </is>
      </c>
      <c r="E833" s="6" t="n">
        <v>5364.91</v>
      </c>
      <c r="F833" s="6">
        <f>E833*0.22</f>
        <v/>
      </c>
      <c r="G833" s="6">
        <f>E833+F833</f>
        <v/>
      </c>
      <c r="H833" s="10" t="n">
        <v>7</v>
      </c>
      <c r="I833" s="7">
        <f>H833/(180*0.714)</f>
        <v/>
      </c>
    </row>
    <row r="834">
      <c r="A834" s="4" t="inlineStr">
        <is>
          <t>SERV-10830</t>
        </is>
      </c>
      <c r="B834" s="5" t="inlineStr">
        <is>
          <t>Professor da Educação Básica (40h)</t>
        </is>
      </c>
      <c r="C834" s="4" t="inlineStr">
        <is>
          <t>Efetivo Concursado</t>
        </is>
      </c>
      <c r="D834" s="4" t="inlineStr">
        <is>
          <t>SEC-EDU</t>
        </is>
      </c>
      <c r="E834" s="6" t="n">
        <v>5639.16</v>
      </c>
      <c r="F834" s="6">
        <f>E834*0.22</f>
        <v/>
      </c>
      <c r="G834" s="6">
        <f>E834+F834</f>
        <v/>
      </c>
      <c r="H834" s="10" t="n">
        <v>3</v>
      </c>
      <c r="I834" s="7">
        <f>H834/(180*0.714)</f>
        <v/>
      </c>
    </row>
    <row r="835">
      <c r="A835" s="4" t="inlineStr">
        <is>
          <t>SERV-10831</t>
        </is>
      </c>
      <c r="B835" s="5" t="inlineStr">
        <is>
          <t>Professor da Educação Básica (40h)</t>
        </is>
      </c>
      <c r="C835" s="4" t="inlineStr">
        <is>
          <t>Efetivo Concursado</t>
        </is>
      </c>
      <c r="D835" s="4" t="inlineStr">
        <is>
          <t>SEC-EDU</t>
        </is>
      </c>
      <c r="E835" s="6" t="n">
        <v>5574.45</v>
      </c>
      <c r="F835" s="6">
        <f>E835*0.22</f>
        <v/>
      </c>
      <c r="G835" s="6">
        <f>E835+F835</f>
        <v/>
      </c>
      <c r="H835" s="10" t="n">
        <v>7</v>
      </c>
      <c r="I835" s="7">
        <f>H835/(180*0.714)</f>
        <v/>
      </c>
    </row>
    <row r="836">
      <c r="A836" s="4" t="inlineStr">
        <is>
          <t>SERV-10832</t>
        </is>
      </c>
      <c r="B836" s="5" t="inlineStr">
        <is>
          <t>Professor da Educação Básica (40h)</t>
        </is>
      </c>
      <c r="C836" s="4" t="inlineStr">
        <is>
          <t>Efetivo Concursado</t>
        </is>
      </c>
      <c r="D836" s="4" t="inlineStr">
        <is>
          <t>SEC-EDU</t>
        </is>
      </c>
      <c r="E836" s="6" t="n">
        <v>5411.23</v>
      </c>
      <c r="F836" s="6">
        <f>E836*0.22</f>
        <v/>
      </c>
      <c r="G836" s="6">
        <f>E836+F836</f>
        <v/>
      </c>
      <c r="H836" s="10" t="n">
        <v>7</v>
      </c>
      <c r="I836" s="7">
        <f>H836/(180*0.714)</f>
        <v/>
      </c>
    </row>
    <row r="837">
      <c r="A837" s="4" t="inlineStr">
        <is>
          <t>SERV-10833</t>
        </is>
      </c>
      <c r="B837" s="5" t="inlineStr">
        <is>
          <t>Professor da Educação Básica (40h)</t>
        </is>
      </c>
      <c r="C837" s="4" t="inlineStr">
        <is>
          <t>Efetivo Concursado</t>
        </is>
      </c>
      <c r="D837" s="4" t="inlineStr">
        <is>
          <t>SEC-EDU</t>
        </is>
      </c>
      <c r="E837" s="6" t="n">
        <v>5016.15</v>
      </c>
      <c r="F837" s="6">
        <f>E837*0.22</f>
        <v/>
      </c>
      <c r="G837" s="6">
        <f>E837+F837</f>
        <v/>
      </c>
      <c r="H837" s="10" t="n">
        <v>5</v>
      </c>
      <c r="I837" s="7">
        <f>H837/(180*0.714)</f>
        <v/>
      </c>
    </row>
    <row r="838">
      <c r="A838" s="4" t="inlineStr">
        <is>
          <t>SERV-10834</t>
        </is>
      </c>
      <c r="B838" s="5" t="inlineStr">
        <is>
          <t>Professor da Educação Básica (40h)</t>
        </is>
      </c>
      <c r="C838" s="4" t="inlineStr">
        <is>
          <t>Efetivo Concursado</t>
        </is>
      </c>
      <c r="D838" s="4" t="inlineStr">
        <is>
          <t>SEC-EDU</t>
        </is>
      </c>
      <c r="E838" s="6" t="n">
        <v>5439.42</v>
      </c>
      <c r="F838" s="6">
        <f>E838*0.22</f>
        <v/>
      </c>
      <c r="G838" s="6">
        <f>E838+F838</f>
        <v/>
      </c>
      <c r="H838" s="10" t="n">
        <v>6</v>
      </c>
      <c r="I838" s="7">
        <f>H838/(180*0.714)</f>
        <v/>
      </c>
    </row>
    <row r="839">
      <c r="A839" s="4" t="inlineStr">
        <is>
          <t>SERV-10835</t>
        </is>
      </c>
      <c r="B839" s="5" t="inlineStr">
        <is>
          <t>Professor da Educação Básica (40h)</t>
        </is>
      </c>
      <c r="C839" s="4" t="inlineStr">
        <is>
          <t>Efetivo Concursado</t>
        </is>
      </c>
      <c r="D839" s="4" t="inlineStr">
        <is>
          <t>SEC-EDU</t>
        </is>
      </c>
      <c r="E839" s="6" t="n">
        <v>5356.42</v>
      </c>
      <c r="F839" s="6">
        <f>E839*0.22</f>
        <v/>
      </c>
      <c r="G839" s="6">
        <f>E839+F839</f>
        <v/>
      </c>
      <c r="H839" s="10" t="n">
        <v>6</v>
      </c>
      <c r="I839" s="7">
        <f>H839/(180*0.714)</f>
        <v/>
      </c>
    </row>
    <row r="840">
      <c r="A840" s="4" t="inlineStr">
        <is>
          <t>SERV-10836</t>
        </is>
      </c>
      <c r="B840" s="5" t="inlineStr">
        <is>
          <t>Professor da Educação Básica (40h)</t>
        </is>
      </c>
      <c r="C840" s="4" t="inlineStr">
        <is>
          <t>Efetivo Concursado</t>
        </is>
      </c>
      <c r="D840" s="4" t="inlineStr">
        <is>
          <t>SEC-EDU</t>
        </is>
      </c>
      <c r="E840" s="6" t="n">
        <v>5105.21</v>
      </c>
      <c r="F840" s="6">
        <f>E840*0.22</f>
        <v/>
      </c>
      <c r="G840" s="6">
        <f>E840+F840</f>
        <v/>
      </c>
      <c r="H840" s="10" t="n">
        <v>7</v>
      </c>
      <c r="I840" s="7">
        <f>H840/(180*0.714)</f>
        <v/>
      </c>
    </row>
    <row r="841">
      <c r="A841" s="4" t="inlineStr">
        <is>
          <t>SERV-10837</t>
        </is>
      </c>
      <c r="B841" s="5" t="inlineStr">
        <is>
          <t>Professor da Educação Básica (40h)</t>
        </is>
      </c>
      <c r="C841" s="4" t="inlineStr">
        <is>
          <t>Efetivo Concursado</t>
        </is>
      </c>
      <c r="D841" s="4" t="inlineStr">
        <is>
          <t>SEC-EDU</t>
        </is>
      </c>
      <c r="E841" s="6" t="n">
        <v>5418.9</v>
      </c>
      <c r="F841" s="6">
        <f>E841*0.22</f>
        <v/>
      </c>
      <c r="G841" s="6">
        <f>E841+F841</f>
        <v/>
      </c>
      <c r="H841" s="10" t="n">
        <v>5</v>
      </c>
      <c r="I841" s="7">
        <f>H841/(180*0.714)</f>
        <v/>
      </c>
    </row>
    <row r="842">
      <c r="A842" s="4" t="inlineStr">
        <is>
          <t>SERV-10838</t>
        </is>
      </c>
      <c r="B842" s="5" t="inlineStr">
        <is>
          <t>Professor da Educação Básica (40h)</t>
        </is>
      </c>
      <c r="C842" s="4" t="inlineStr">
        <is>
          <t>Efetivo Concursado</t>
        </is>
      </c>
      <c r="D842" s="4" t="inlineStr">
        <is>
          <t>SEC-EDU</t>
        </is>
      </c>
      <c r="E842" s="6" t="n">
        <v>5713.27</v>
      </c>
      <c r="F842" s="6">
        <f>E842*0.22</f>
        <v/>
      </c>
      <c r="G842" s="6">
        <f>E842+F842</f>
        <v/>
      </c>
      <c r="H842" s="10" t="n">
        <v>6</v>
      </c>
      <c r="I842" s="7">
        <f>H842/(180*0.714)</f>
        <v/>
      </c>
    </row>
    <row r="843">
      <c r="A843" s="4" t="inlineStr">
        <is>
          <t>SERV-10839</t>
        </is>
      </c>
      <c r="B843" s="5" t="inlineStr">
        <is>
          <t>Professor da Educação Básica (40h)</t>
        </is>
      </c>
      <c r="C843" s="4" t="inlineStr">
        <is>
          <t>Efetivo Concursado</t>
        </is>
      </c>
      <c r="D843" s="4" t="inlineStr">
        <is>
          <t>SEC-EDU</t>
        </is>
      </c>
      <c r="E843" s="6" t="n">
        <v>5625.26</v>
      </c>
      <c r="F843" s="6">
        <f>E843*0.22</f>
        <v/>
      </c>
      <c r="G843" s="6">
        <f>E843+F843</f>
        <v/>
      </c>
      <c r="H843" s="10" t="n">
        <v>5</v>
      </c>
      <c r="I843" s="7">
        <f>H843/(180*0.714)</f>
        <v/>
      </c>
    </row>
    <row r="844">
      <c r="A844" s="4" t="inlineStr">
        <is>
          <t>SERV-10840</t>
        </is>
      </c>
      <c r="B844" s="5" t="inlineStr">
        <is>
          <t>Professor da Educação Básica (40h)</t>
        </is>
      </c>
      <c r="C844" s="4" t="inlineStr">
        <is>
          <t>Efetivo Concursado</t>
        </is>
      </c>
      <c r="D844" s="4" t="inlineStr">
        <is>
          <t>SEC-EDU</t>
        </is>
      </c>
      <c r="E844" s="6" t="n">
        <v>5653.37</v>
      </c>
      <c r="F844" s="6">
        <f>E844*0.22</f>
        <v/>
      </c>
      <c r="G844" s="6">
        <f>E844+F844</f>
        <v/>
      </c>
      <c r="H844" s="10" t="n">
        <v>2</v>
      </c>
      <c r="I844" s="7">
        <f>H844/(180*0.714)</f>
        <v/>
      </c>
    </row>
    <row r="845">
      <c r="A845" s="4" t="inlineStr">
        <is>
          <t>SERV-10841</t>
        </is>
      </c>
      <c r="B845" s="5" t="inlineStr">
        <is>
          <t>Professor da Educação Básica (40h)</t>
        </is>
      </c>
      <c r="C845" s="4" t="inlineStr">
        <is>
          <t>Efetivo Concursado</t>
        </is>
      </c>
      <c r="D845" s="4" t="inlineStr">
        <is>
          <t>SEC-EDU</t>
        </is>
      </c>
      <c r="E845" s="6" t="n">
        <v>5327.98</v>
      </c>
      <c r="F845" s="6">
        <f>E845*0.22</f>
        <v/>
      </c>
      <c r="G845" s="6">
        <f>E845+F845</f>
        <v/>
      </c>
      <c r="H845" s="10" t="n">
        <v>6</v>
      </c>
      <c r="I845" s="7">
        <f>H845/(180*0.714)</f>
        <v/>
      </c>
    </row>
    <row r="846">
      <c r="A846" s="4" t="inlineStr">
        <is>
          <t>SERV-10842</t>
        </is>
      </c>
      <c r="B846" s="5" t="inlineStr">
        <is>
          <t>Professor da Educação Básica (40h)</t>
        </is>
      </c>
      <c r="C846" s="4" t="inlineStr">
        <is>
          <t>Efetivo Concursado</t>
        </is>
      </c>
      <c r="D846" s="4" t="inlineStr">
        <is>
          <t>SEC-EDU</t>
        </is>
      </c>
      <c r="E846" s="6" t="n">
        <v>5095.07</v>
      </c>
      <c r="F846" s="6">
        <f>E846*0.22</f>
        <v/>
      </c>
      <c r="G846" s="6">
        <f>E846+F846</f>
        <v/>
      </c>
      <c r="H846" s="10" t="n">
        <v>4</v>
      </c>
      <c r="I846" s="7">
        <f>H846/(180*0.714)</f>
        <v/>
      </c>
    </row>
    <row r="847">
      <c r="A847" s="4" t="inlineStr">
        <is>
          <t>SERV-10843</t>
        </is>
      </c>
      <c r="B847" s="5" t="inlineStr">
        <is>
          <t>Professor da Educação Básica (40h)</t>
        </is>
      </c>
      <c r="C847" s="4" t="inlineStr">
        <is>
          <t>Efetivo Concursado</t>
        </is>
      </c>
      <c r="D847" s="4" t="inlineStr">
        <is>
          <t>SEC-EDU</t>
        </is>
      </c>
      <c r="E847" s="6" t="n">
        <v>5544.97</v>
      </c>
      <c r="F847" s="6">
        <f>E847*0.22</f>
        <v/>
      </c>
      <c r="G847" s="6">
        <f>E847+F847</f>
        <v/>
      </c>
      <c r="H847" s="10" t="n">
        <v>2</v>
      </c>
      <c r="I847" s="7">
        <f>H847/(180*0.714)</f>
        <v/>
      </c>
    </row>
    <row r="848">
      <c r="A848" s="4" t="inlineStr">
        <is>
          <t>SERV-10844</t>
        </is>
      </c>
      <c r="B848" s="5" t="inlineStr">
        <is>
          <t>Professor da Educação Básica (40h)</t>
        </is>
      </c>
      <c r="C848" s="4" t="inlineStr">
        <is>
          <t>Efetivo Concursado</t>
        </is>
      </c>
      <c r="D848" s="4" t="inlineStr">
        <is>
          <t>SEC-EDU</t>
        </is>
      </c>
      <c r="E848" s="6" t="n">
        <v>5470.08</v>
      </c>
      <c r="F848" s="6">
        <f>E848*0.22</f>
        <v/>
      </c>
      <c r="G848" s="6">
        <f>E848+F848</f>
        <v/>
      </c>
      <c r="H848" s="10" t="n">
        <v>2</v>
      </c>
      <c r="I848" s="7">
        <f>H848/(180*0.714)</f>
        <v/>
      </c>
    </row>
    <row r="849">
      <c r="A849" s="4" t="inlineStr">
        <is>
          <t>SERV-10845</t>
        </is>
      </c>
      <c r="B849" s="5" t="inlineStr">
        <is>
          <t>Professor da Educação Básica (40h)</t>
        </is>
      </c>
      <c r="C849" s="4" t="inlineStr">
        <is>
          <t>Efetivo Concursado</t>
        </is>
      </c>
      <c r="D849" s="4" t="inlineStr">
        <is>
          <t>SEC-EDU</t>
        </is>
      </c>
      <c r="E849" s="6" t="n">
        <v>5308.23</v>
      </c>
      <c r="F849" s="6">
        <f>E849*0.22</f>
        <v/>
      </c>
      <c r="G849" s="6">
        <f>E849+F849</f>
        <v/>
      </c>
      <c r="H849" s="10" t="n">
        <v>5</v>
      </c>
      <c r="I849" s="7">
        <f>H849/(180*0.714)</f>
        <v/>
      </c>
    </row>
    <row r="850">
      <c r="A850" s="4" t="inlineStr">
        <is>
          <t>SERV-10846</t>
        </is>
      </c>
      <c r="B850" s="5" t="inlineStr">
        <is>
          <t>Professor da Educação Básica (40h)</t>
        </is>
      </c>
      <c r="C850" s="4" t="inlineStr">
        <is>
          <t>Efetivo Concursado</t>
        </is>
      </c>
      <c r="D850" s="4" t="inlineStr">
        <is>
          <t>SEC-EDU</t>
        </is>
      </c>
      <c r="E850" s="6" t="n">
        <v>5769.69</v>
      </c>
      <c r="F850" s="6">
        <f>E850*0.22</f>
        <v/>
      </c>
      <c r="G850" s="6">
        <f>E850+F850</f>
        <v/>
      </c>
      <c r="H850" s="10" t="n">
        <v>5</v>
      </c>
      <c r="I850" s="7">
        <f>H850/(180*0.714)</f>
        <v/>
      </c>
    </row>
    <row r="851">
      <c r="A851" s="4" t="inlineStr">
        <is>
          <t>SERV-10847</t>
        </is>
      </c>
      <c r="B851" s="5" t="inlineStr">
        <is>
          <t>Professor da Educação Básica (40h)</t>
        </is>
      </c>
      <c r="C851" s="4" t="inlineStr">
        <is>
          <t>Efetivo Concursado</t>
        </is>
      </c>
      <c r="D851" s="4" t="inlineStr">
        <is>
          <t>SEC-EDU</t>
        </is>
      </c>
      <c r="E851" s="6" t="n">
        <v>5007.44</v>
      </c>
      <c r="F851" s="6">
        <f>E851*0.22</f>
        <v/>
      </c>
      <c r="G851" s="6">
        <f>E851+F851</f>
        <v/>
      </c>
      <c r="H851" s="10" t="n">
        <v>3</v>
      </c>
      <c r="I851" s="7">
        <f>H851/(180*0.714)</f>
        <v/>
      </c>
    </row>
    <row r="852">
      <c r="A852" s="4" t="inlineStr">
        <is>
          <t>SERV-10848</t>
        </is>
      </c>
      <c r="B852" s="5" t="inlineStr">
        <is>
          <t>Professor da Educação Básica (40h)</t>
        </is>
      </c>
      <c r="C852" s="4" t="inlineStr">
        <is>
          <t>Efetivo Concursado</t>
        </is>
      </c>
      <c r="D852" s="4" t="inlineStr">
        <is>
          <t>SEC-EDU</t>
        </is>
      </c>
      <c r="E852" s="6" t="n">
        <v>5760.28</v>
      </c>
      <c r="F852" s="6">
        <f>E852*0.22</f>
        <v/>
      </c>
      <c r="G852" s="6">
        <f>E852+F852</f>
        <v/>
      </c>
      <c r="H852" s="10" t="n">
        <v>5</v>
      </c>
      <c r="I852" s="7">
        <f>H852/(180*0.714)</f>
        <v/>
      </c>
    </row>
    <row r="853">
      <c r="A853" s="4" t="inlineStr">
        <is>
          <t>SERV-10849</t>
        </is>
      </c>
      <c r="B853" s="5" t="inlineStr">
        <is>
          <t>Professor da Educação Básica (40h)</t>
        </is>
      </c>
      <c r="C853" s="4" t="inlineStr">
        <is>
          <t>Efetivo Concursado</t>
        </is>
      </c>
      <c r="D853" s="4" t="inlineStr">
        <is>
          <t>SEC-EDU</t>
        </is>
      </c>
      <c r="E853" s="6" t="n">
        <v>5387.13</v>
      </c>
      <c r="F853" s="6">
        <f>E853*0.22</f>
        <v/>
      </c>
      <c r="G853" s="6">
        <f>E853+F853</f>
        <v/>
      </c>
      <c r="H853" s="10" t="n">
        <v>3</v>
      </c>
      <c r="I853" s="7">
        <f>H853/(180*0.714)</f>
        <v/>
      </c>
    </row>
    <row r="854">
      <c r="A854" s="4" t="inlineStr">
        <is>
          <t>SERV-10850</t>
        </is>
      </c>
      <c r="B854" s="5" t="inlineStr">
        <is>
          <t>Professor da Educação Básica (40h)</t>
        </is>
      </c>
      <c r="C854" s="4" t="inlineStr">
        <is>
          <t>Efetivo Concursado</t>
        </is>
      </c>
      <c r="D854" s="4" t="inlineStr">
        <is>
          <t>SEC-EDU</t>
        </is>
      </c>
      <c r="E854" s="6" t="n">
        <v>4851.65</v>
      </c>
      <c r="F854" s="6">
        <f>E854*0.22</f>
        <v/>
      </c>
      <c r="G854" s="6">
        <f>E854+F854</f>
        <v/>
      </c>
      <c r="H854" s="10" t="n">
        <v>5</v>
      </c>
      <c r="I854" s="7">
        <f>H854/(180*0.714)</f>
        <v/>
      </c>
    </row>
    <row r="855">
      <c r="A855" s="4" t="inlineStr">
        <is>
          <t>SERV-10851</t>
        </is>
      </c>
      <c r="B855" s="5" t="inlineStr">
        <is>
          <t>Professor da Educação Básica (40h)</t>
        </is>
      </c>
      <c r="C855" s="4" t="inlineStr">
        <is>
          <t>Efetivo Concursado</t>
        </is>
      </c>
      <c r="D855" s="4" t="inlineStr">
        <is>
          <t>SEC-EDU</t>
        </is>
      </c>
      <c r="E855" s="6" t="n">
        <v>4814.3</v>
      </c>
      <c r="F855" s="6">
        <f>E855*0.22</f>
        <v/>
      </c>
      <c r="G855" s="6">
        <f>E855+F855</f>
        <v/>
      </c>
      <c r="H855" s="10" t="n">
        <v>6</v>
      </c>
      <c r="I855" s="7">
        <f>H855/(180*0.714)</f>
        <v/>
      </c>
    </row>
    <row r="856">
      <c r="A856" s="4" t="inlineStr">
        <is>
          <t>SERV-10852</t>
        </is>
      </c>
      <c r="B856" s="5" t="inlineStr">
        <is>
          <t>Médico / Enfermeiro da Saúde da Família</t>
        </is>
      </c>
      <c r="C856" s="4" t="inlineStr">
        <is>
          <t>Efetivo Concursado</t>
        </is>
      </c>
      <c r="D856" s="4" t="inlineStr">
        <is>
          <t>SEC-SAU</t>
        </is>
      </c>
      <c r="E856" s="6" t="n">
        <v>13285.65</v>
      </c>
      <c r="F856" s="6">
        <f>E856*0.22</f>
        <v/>
      </c>
      <c r="G856" s="6">
        <f>E856+F856</f>
        <v/>
      </c>
      <c r="H856" s="10" t="n">
        <v>5</v>
      </c>
      <c r="I856" s="7">
        <f>H856/(180*0.714)</f>
        <v/>
      </c>
    </row>
    <row r="857">
      <c r="A857" s="4" t="inlineStr">
        <is>
          <t>SERV-10853</t>
        </is>
      </c>
      <c r="B857" s="5" t="inlineStr">
        <is>
          <t>Médico / Enfermeiro da Saúde da Família</t>
        </is>
      </c>
      <c r="C857" s="4" t="inlineStr">
        <is>
          <t>Efetivo Concursado</t>
        </is>
      </c>
      <c r="D857" s="4" t="inlineStr">
        <is>
          <t>SEC-SAU</t>
        </is>
      </c>
      <c r="E857" s="6" t="n">
        <v>13107.48</v>
      </c>
      <c r="F857" s="6">
        <f>E857*0.22</f>
        <v/>
      </c>
      <c r="G857" s="6">
        <f>E857+F857</f>
        <v/>
      </c>
      <c r="H857" s="10" t="n">
        <v>4</v>
      </c>
      <c r="I857" s="7">
        <f>H857/(180*0.714)</f>
        <v/>
      </c>
    </row>
    <row r="858">
      <c r="A858" s="4" t="inlineStr">
        <is>
          <t>SERV-10854</t>
        </is>
      </c>
      <c r="B858" s="5" t="inlineStr">
        <is>
          <t>Médico / Enfermeiro da Saúde da Família</t>
        </is>
      </c>
      <c r="C858" s="4" t="inlineStr">
        <is>
          <t>Efetivo Concursado</t>
        </is>
      </c>
      <c r="D858" s="4" t="inlineStr">
        <is>
          <t>SEC-SAU</t>
        </is>
      </c>
      <c r="E858" s="6" t="n">
        <v>13383.4</v>
      </c>
      <c r="F858" s="6">
        <f>E858*0.22</f>
        <v/>
      </c>
      <c r="G858" s="6">
        <f>E858+F858</f>
        <v/>
      </c>
      <c r="H858" s="10" t="n">
        <v>1</v>
      </c>
      <c r="I858" s="7">
        <f>H858/(180*0.714)</f>
        <v/>
      </c>
    </row>
    <row r="859">
      <c r="A859" s="4" t="inlineStr">
        <is>
          <t>SERV-10855</t>
        </is>
      </c>
      <c r="B859" s="5" t="inlineStr">
        <is>
          <t>Médico / Enfermeiro da Saúde da Família</t>
        </is>
      </c>
      <c r="C859" s="4" t="inlineStr">
        <is>
          <t>Efetivo Concursado</t>
        </is>
      </c>
      <c r="D859" s="4" t="inlineStr">
        <is>
          <t>SEC-SAU</t>
        </is>
      </c>
      <c r="E859" s="6" t="n">
        <v>12305.35</v>
      </c>
      <c r="F859" s="6">
        <f>E859*0.22</f>
        <v/>
      </c>
      <c r="G859" s="6">
        <f>E859+F859</f>
        <v/>
      </c>
      <c r="H859" s="10" t="n">
        <v>4</v>
      </c>
      <c r="I859" s="7">
        <f>H859/(180*0.714)</f>
        <v/>
      </c>
    </row>
    <row r="860">
      <c r="A860" s="4" t="inlineStr">
        <is>
          <t>SERV-10856</t>
        </is>
      </c>
      <c r="B860" s="5" t="inlineStr">
        <is>
          <t>Médico / Enfermeiro da Saúde da Família</t>
        </is>
      </c>
      <c r="C860" s="4" t="inlineStr">
        <is>
          <t>Efetivo Concursado</t>
        </is>
      </c>
      <c r="D860" s="4" t="inlineStr">
        <is>
          <t>SEC-SAU</t>
        </is>
      </c>
      <c r="E860" s="6" t="n">
        <v>12175.03</v>
      </c>
      <c r="F860" s="6">
        <f>E860*0.22</f>
        <v/>
      </c>
      <c r="G860" s="6">
        <f>E860+F860</f>
        <v/>
      </c>
      <c r="H860" s="10" t="n">
        <v>2</v>
      </c>
      <c r="I860" s="7">
        <f>H860/(180*0.714)</f>
        <v/>
      </c>
    </row>
    <row r="861">
      <c r="A861" s="4" t="inlineStr">
        <is>
          <t>SERV-10857</t>
        </is>
      </c>
      <c r="B861" s="5" t="inlineStr">
        <is>
          <t>Médico / Enfermeiro da Saúde da Família</t>
        </is>
      </c>
      <c r="C861" s="4" t="inlineStr">
        <is>
          <t>Efetivo Concursado</t>
        </is>
      </c>
      <c r="D861" s="4" t="inlineStr">
        <is>
          <t>SEC-SAU</t>
        </is>
      </c>
      <c r="E861" s="6" t="n">
        <v>12549.34</v>
      </c>
      <c r="F861" s="6">
        <f>E861*0.22</f>
        <v/>
      </c>
      <c r="G861" s="6">
        <f>E861+F861</f>
        <v/>
      </c>
      <c r="H861" s="10" t="n">
        <v>5</v>
      </c>
      <c r="I861" s="7">
        <f>H861/(180*0.714)</f>
        <v/>
      </c>
    </row>
    <row r="862">
      <c r="A862" s="4" t="inlineStr">
        <is>
          <t>SERV-10858</t>
        </is>
      </c>
      <c r="B862" s="5" t="inlineStr">
        <is>
          <t>Médico / Enfermeiro da Saúde da Família</t>
        </is>
      </c>
      <c r="C862" s="4" t="inlineStr">
        <is>
          <t>Efetivo Concursado</t>
        </is>
      </c>
      <c r="D862" s="4" t="inlineStr">
        <is>
          <t>SEC-SAU</t>
        </is>
      </c>
      <c r="E862" s="6" t="n">
        <v>12531.08</v>
      </c>
      <c r="F862" s="6">
        <f>E862*0.22</f>
        <v/>
      </c>
      <c r="G862" s="6">
        <f>E862+F862</f>
        <v/>
      </c>
      <c r="H862" s="10" t="n">
        <v>4</v>
      </c>
      <c r="I862" s="7">
        <f>H862/(180*0.714)</f>
        <v/>
      </c>
    </row>
    <row r="863">
      <c r="A863" s="4" t="inlineStr">
        <is>
          <t>SERV-10859</t>
        </is>
      </c>
      <c r="B863" s="5" t="inlineStr">
        <is>
          <t>Médico / Enfermeiro da Saúde da Família</t>
        </is>
      </c>
      <c r="C863" s="4" t="inlineStr">
        <is>
          <t>Efetivo Concursado</t>
        </is>
      </c>
      <c r="D863" s="4" t="inlineStr">
        <is>
          <t>SEC-SAU</t>
        </is>
      </c>
      <c r="E863" s="6" t="n">
        <v>12862.98</v>
      </c>
      <c r="F863" s="6">
        <f>E863*0.22</f>
        <v/>
      </c>
      <c r="G863" s="6">
        <f>E863+F863</f>
        <v/>
      </c>
      <c r="H863" s="10" t="n">
        <v>4</v>
      </c>
      <c r="I863" s="7">
        <f>H863/(180*0.714)</f>
        <v/>
      </c>
    </row>
    <row r="864">
      <c r="A864" s="4" t="inlineStr">
        <is>
          <t>SERV-10860</t>
        </is>
      </c>
      <c r="B864" s="5" t="inlineStr">
        <is>
          <t>Médico / Enfermeiro da Saúde da Família</t>
        </is>
      </c>
      <c r="C864" s="4" t="inlineStr">
        <is>
          <t>Efetivo Concursado</t>
        </is>
      </c>
      <c r="D864" s="4" t="inlineStr">
        <is>
          <t>SEC-SAU</t>
        </is>
      </c>
      <c r="E864" s="6" t="n">
        <v>12521.11</v>
      </c>
      <c r="F864" s="6">
        <f>E864*0.22</f>
        <v/>
      </c>
      <c r="G864" s="6">
        <f>E864+F864</f>
        <v/>
      </c>
      <c r="H864" s="10" t="n">
        <v>1</v>
      </c>
      <c r="I864" s="7">
        <f>H864/(180*0.714)</f>
        <v/>
      </c>
    </row>
    <row r="865">
      <c r="A865" s="4" t="inlineStr">
        <is>
          <t>SERV-10861</t>
        </is>
      </c>
      <c r="B865" s="5" t="inlineStr">
        <is>
          <t>Médico / Enfermeiro da Saúde da Família</t>
        </is>
      </c>
      <c r="C865" s="4" t="inlineStr">
        <is>
          <t>Efetivo Concursado</t>
        </is>
      </c>
      <c r="D865" s="4" t="inlineStr">
        <is>
          <t>SEC-SAU</t>
        </is>
      </c>
      <c r="E865" s="6" t="n">
        <v>13074.88</v>
      </c>
      <c r="F865" s="6">
        <f>E865*0.22</f>
        <v/>
      </c>
      <c r="G865" s="6">
        <f>E865+F865</f>
        <v/>
      </c>
      <c r="H865" s="10" t="n">
        <v>5</v>
      </c>
      <c r="I865" s="7">
        <f>H865/(180*0.714)</f>
        <v/>
      </c>
    </row>
    <row r="866">
      <c r="A866" s="4" t="inlineStr">
        <is>
          <t>SERV-10862</t>
        </is>
      </c>
      <c r="B866" s="5" t="inlineStr">
        <is>
          <t>Médico / Enfermeiro da Saúde da Família</t>
        </is>
      </c>
      <c r="C866" s="4" t="inlineStr">
        <is>
          <t>Efetivo Concursado</t>
        </is>
      </c>
      <c r="D866" s="4" t="inlineStr">
        <is>
          <t>SEC-SAU</t>
        </is>
      </c>
      <c r="E866" s="6" t="n">
        <v>13591.17</v>
      </c>
      <c r="F866" s="6">
        <f>E866*0.22</f>
        <v/>
      </c>
      <c r="G866" s="6">
        <f>E866+F866</f>
        <v/>
      </c>
      <c r="H866" s="10" t="n">
        <v>5</v>
      </c>
      <c r="I866" s="7">
        <f>H866/(180*0.714)</f>
        <v/>
      </c>
    </row>
    <row r="867">
      <c r="A867" s="4" t="inlineStr">
        <is>
          <t>SERV-10863</t>
        </is>
      </c>
      <c r="B867" s="5" t="inlineStr">
        <is>
          <t>Médico / Enfermeiro da Saúde da Família</t>
        </is>
      </c>
      <c r="C867" s="4" t="inlineStr">
        <is>
          <t>Efetivo Concursado</t>
        </is>
      </c>
      <c r="D867" s="4" t="inlineStr">
        <is>
          <t>SEC-SAU</t>
        </is>
      </c>
      <c r="E867" s="6" t="n">
        <v>13352.35</v>
      </c>
      <c r="F867" s="6">
        <f>E867*0.22</f>
        <v/>
      </c>
      <c r="G867" s="6">
        <f>E867+F867</f>
        <v/>
      </c>
      <c r="H867" s="10" t="n">
        <v>3</v>
      </c>
      <c r="I867" s="7">
        <f>H867/(180*0.714)</f>
        <v/>
      </c>
    </row>
    <row r="868">
      <c r="A868" s="4" t="inlineStr">
        <is>
          <t>SERV-10864</t>
        </is>
      </c>
      <c r="B868" s="5" t="inlineStr">
        <is>
          <t>Médico / Enfermeiro da Saúde da Família</t>
        </is>
      </c>
      <c r="C868" s="4" t="inlineStr">
        <is>
          <t>Efetivo Concursado</t>
        </is>
      </c>
      <c r="D868" s="4" t="inlineStr">
        <is>
          <t>SEC-SAU</t>
        </is>
      </c>
      <c r="E868" s="6" t="n">
        <v>12226.21</v>
      </c>
      <c r="F868" s="6">
        <f>E868*0.22</f>
        <v/>
      </c>
      <c r="G868" s="6">
        <f>E868+F868</f>
        <v/>
      </c>
      <c r="H868" s="10" t="n">
        <v>2</v>
      </c>
      <c r="I868" s="7">
        <f>H868/(180*0.714)</f>
        <v/>
      </c>
    </row>
    <row r="869">
      <c r="A869" s="4" t="inlineStr">
        <is>
          <t>SERV-10865</t>
        </is>
      </c>
      <c r="B869" s="5" t="inlineStr">
        <is>
          <t>Médico / Enfermeiro da Saúde da Família</t>
        </is>
      </c>
      <c r="C869" s="4" t="inlineStr">
        <is>
          <t>Efetivo Concursado</t>
        </is>
      </c>
      <c r="D869" s="4" t="inlineStr">
        <is>
          <t>SEC-SAU</t>
        </is>
      </c>
      <c r="E869" s="6" t="n">
        <v>12883.99</v>
      </c>
      <c r="F869" s="6">
        <f>E869*0.22</f>
        <v/>
      </c>
      <c r="G869" s="6">
        <f>E869+F869</f>
        <v/>
      </c>
      <c r="H869" s="10" t="n">
        <v>5</v>
      </c>
      <c r="I869" s="7">
        <f>H869/(180*0.714)</f>
        <v/>
      </c>
    </row>
    <row r="870">
      <c r="A870" s="4" t="inlineStr">
        <is>
          <t>SERV-10866</t>
        </is>
      </c>
      <c r="B870" s="5" t="inlineStr">
        <is>
          <t>Médico / Enfermeiro da Saúde da Família</t>
        </is>
      </c>
      <c r="C870" s="4" t="inlineStr">
        <is>
          <t>Efetivo Concursado</t>
        </is>
      </c>
      <c r="D870" s="4" t="inlineStr">
        <is>
          <t>SEC-SAU</t>
        </is>
      </c>
      <c r="E870" s="6" t="n">
        <v>13483.91</v>
      </c>
      <c r="F870" s="6">
        <f>E870*0.22</f>
        <v/>
      </c>
      <c r="G870" s="6">
        <f>E870+F870</f>
        <v/>
      </c>
      <c r="H870" s="10" t="n">
        <v>1</v>
      </c>
      <c r="I870" s="7">
        <f>H870/(180*0.714)</f>
        <v/>
      </c>
    </row>
    <row r="871">
      <c r="A871" s="4" t="inlineStr">
        <is>
          <t>SERV-10867</t>
        </is>
      </c>
      <c r="B871" s="5" t="inlineStr">
        <is>
          <t>Médico / Enfermeiro da Saúde da Família</t>
        </is>
      </c>
      <c r="C871" s="4" t="inlineStr">
        <is>
          <t>Efetivo Concursado</t>
        </is>
      </c>
      <c r="D871" s="4" t="inlineStr">
        <is>
          <t>SEC-SAU</t>
        </is>
      </c>
      <c r="E871" s="6" t="n">
        <v>12103.66</v>
      </c>
      <c r="F871" s="6">
        <f>E871*0.22</f>
        <v/>
      </c>
      <c r="G871" s="6">
        <f>E871+F871</f>
        <v/>
      </c>
      <c r="H871" s="10" t="n">
        <v>2</v>
      </c>
      <c r="I871" s="7">
        <f>H871/(180*0.714)</f>
        <v/>
      </c>
    </row>
    <row r="872">
      <c r="A872" s="4" t="inlineStr">
        <is>
          <t>SERV-10868</t>
        </is>
      </c>
      <c r="B872" s="5" t="inlineStr">
        <is>
          <t>Médico / Enfermeiro da Saúde da Família</t>
        </is>
      </c>
      <c r="C872" s="4" t="inlineStr">
        <is>
          <t>Efetivo Concursado</t>
        </is>
      </c>
      <c r="D872" s="4" t="inlineStr">
        <is>
          <t>SEC-SAU</t>
        </is>
      </c>
      <c r="E872" s="6" t="n">
        <v>13826</v>
      </c>
      <c r="F872" s="6">
        <f>E872*0.22</f>
        <v/>
      </c>
      <c r="G872" s="6">
        <f>E872+F872</f>
        <v/>
      </c>
      <c r="H872" s="10" t="n">
        <v>1</v>
      </c>
      <c r="I872" s="7">
        <f>H872/(180*0.714)</f>
        <v/>
      </c>
    </row>
    <row r="873">
      <c r="A873" s="4" t="inlineStr">
        <is>
          <t>SERV-10869</t>
        </is>
      </c>
      <c r="B873" s="5" t="inlineStr">
        <is>
          <t>Médico / Enfermeiro da Saúde da Família</t>
        </is>
      </c>
      <c r="C873" s="4" t="inlineStr">
        <is>
          <t>Efetivo Concursado</t>
        </is>
      </c>
      <c r="D873" s="4" t="inlineStr">
        <is>
          <t>SEC-SAU</t>
        </is>
      </c>
      <c r="E873" s="6" t="n">
        <v>12576.48</v>
      </c>
      <c r="F873" s="6">
        <f>E873*0.22</f>
        <v/>
      </c>
      <c r="G873" s="6">
        <f>E873+F873</f>
        <v/>
      </c>
      <c r="H873" s="10" t="n">
        <v>2</v>
      </c>
      <c r="I873" s="7">
        <f>H873/(180*0.714)</f>
        <v/>
      </c>
    </row>
    <row r="874">
      <c r="A874" s="4" t="inlineStr">
        <is>
          <t>SERV-10870</t>
        </is>
      </c>
      <c r="B874" s="5" t="inlineStr">
        <is>
          <t>Médico / Enfermeiro da Saúde da Família</t>
        </is>
      </c>
      <c r="C874" s="4" t="inlineStr">
        <is>
          <t>Efetivo Concursado</t>
        </is>
      </c>
      <c r="D874" s="4" t="inlineStr">
        <is>
          <t>SEC-SAU</t>
        </is>
      </c>
      <c r="E874" s="6" t="n">
        <v>13212.65</v>
      </c>
      <c r="F874" s="6">
        <f>E874*0.22</f>
        <v/>
      </c>
      <c r="G874" s="6">
        <f>E874+F874</f>
        <v/>
      </c>
      <c r="H874" s="10" t="n">
        <v>2</v>
      </c>
      <c r="I874" s="7">
        <f>H874/(180*0.714)</f>
        <v/>
      </c>
    </row>
    <row r="875">
      <c r="A875" s="4" t="inlineStr">
        <is>
          <t>SERV-10871</t>
        </is>
      </c>
      <c r="B875" s="5" t="inlineStr">
        <is>
          <t>Médico / Enfermeiro da Saúde da Família</t>
        </is>
      </c>
      <c r="C875" s="4" t="inlineStr">
        <is>
          <t>Efetivo Concursado</t>
        </is>
      </c>
      <c r="D875" s="4" t="inlineStr">
        <is>
          <t>SEC-SAU</t>
        </is>
      </c>
      <c r="E875" s="6" t="n">
        <v>13120.43</v>
      </c>
      <c r="F875" s="6">
        <f>E875*0.22</f>
        <v/>
      </c>
      <c r="G875" s="6">
        <f>E875+F875</f>
        <v/>
      </c>
      <c r="H875" s="10" t="n">
        <v>2</v>
      </c>
      <c r="I875" s="7">
        <f>H875/(180*0.714)</f>
        <v/>
      </c>
    </row>
    <row r="876">
      <c r="A876" s="4" t="inlineStr">
        <is>
          <t>SERV-10872</t>
        </is>
      </c>
      <c r="B876" s="5" t="inlineStr">
        <is>
          <t>Médico / Enfermeiro da Saúde da Família</t>
        </is>
      </c>
      <c r="C876" s="4" t="inlineStr">
        <is>
          <t>Efetivo Concursado</t>
        </is>
      </c>
      <c r="D876" s="4" t="inlineStr">
        <is>
          <t>SEC-SAU</t>
        </is>
      </c>
      <c r="E876" s="6" t="n">
        <v>13654.87</v>
      </c>
      <c r="F876" s="6">
        <f>E876*0.22</f>
        <v/>
      </c>
      <c r="G876" s="6">
        <f>E876+F876</f>
        <v/>
      </c>
      <c r="H876" s="10" t="n">
        <v>5</v>
      </c>
      <c r="I876" s="7">
        <f>H876/(180*0.714)</f>
        <v/>
      </c>
    </row>
    <row r="877">
      <c r="A877" s="4" t="inlineStr">
        <is>
          <t>SERV-10873</t>
        </is>
      </c>
      <c r="B877" s="5" t="inlineStr">
        <is>
          <t>Médico / Enfermeiro da Saúde da Família</t>
        </is>
      </c>
      <c r="C877" s="4" t="inlineStr">
        <is>
          <t>Efetivo Concursado</t>
        </is>
      </c>
      <c r="D877" s="4" t="inlineStr">
        <is>
          <t>SEC-SAU</t>
        </is>
      </c>
      <c r="E877" s="6" t="n">
        <v>12695.88</v>
      </c>
      <c r="F877" s="6">
        <f>E877*0.22</f>
        <v/>
      </c>
      <c r="G877" s="6">
        <f>E877+F877</f>
        <v/>
      </c>
      <c r="H877" s="10" t="n">
        <v>5</v>
      </c>
      <c r="I877" s="7">
        <f>H877/(180*0.714)</f>
        <v/>
      </c>
    </row>
    <row r="878">
      <c r="A878" s="4" t="inlineStr">
        <is>
          <t>SERV-10874</t>
        </is>
      </c>
      <c r="B878" s="5" t="inlineStr">
        <is>
          <t>Médico / Enfermeiro da Saúde da Família</t>
        </is>
      </c>
      <c r="C878" s="4" t="inlineStr">
        <is>
          <t>Efetivo Concursado</t>
        </is>
      </c>
      <c r="D878" s="4" t="inlineStr">
        <is>
          <t>SEC-SAU</t>
        </is>
      </c>
      <c r="E878" s="6" t="n">
        <v>12156.87</v>
      </c>
      <c r="F878" s="6">
        <f>E878*0.22</f>
        <v/>
      </c>
      <c r="G878" s="6">
        <f>E878+F878</f>
        <v/>
      </c>
      <c r="H878" s="10" t="n">
        <v>2</v>
      </c>
      <c r="I878" s="7">
        <f>H878/(180*0.714)</f>
        <v/>
      </c>
    </row>
    <row r="879">
      <c r="A879" s="4" t="inlineStr">
        <is>
          <t>SERV-10875</t>
        </is>
      </c>
      <c r="B879" s="5" t="inlineStr">
        <is>
          <t>Médico / Enfermeiro da Saúde da Família</t>
        </is>
      </c>
      <c r="C879" s="4" t="inlineStr">
        <is>
          <t>Efetivo Concursado</t>
        </is>
      </c>
      <c r="D879" s="4" t="inlineStr">
        <is>
          <t>SEC-SAU</t>
        </is>
      </c>
      <c r="E879" s="6" t="n">
        <v>12968.12</v>
      </c>
      <c r="F879" s="6">
        <f>E879*0.22</f>
        <v/>
      </c>
      <c r="G879" s="6">
        <f>E879+F879</f>
        <v/>
      </c>
      <c r="H879" s="10" t="n">
        <v>2</v>
      </c>
      <c r="I879" s="7">
        <f>H879/(180*0.714)</f>
        <v/>
      </c>
    </row>
    <row r="880">
      <c r="A880" s="4" t="inlineStr">
        <is>
          <t>SERV-10876</t>
        </is>
      </c>
      <c r="B880" s="5" t="inlineStr">
        <is>
          <t>Médico / Enfermeiro da Saúde da Família</t>
        </is>
      </c>
      <c r="C880" s="4" t="inlineStr">
        <is>
          <t>Efetivo Concursado</t>
        </is>
      </c>
      <c r="D880" s="4" t="inlineStr">
        <is>
          <t>SEC-SAU</t>
        </is>
      </c>
      <c r="E880" s="6" t="n">
        <v>12964.59</v>
      </c>
      <c r="F880" s="6">
        <f>E880*0.22</f>
        <v/>
      </c>
      <c r="G880" s="6">
        <f>E880+F880</f>
        <v/>
      </c>
      <c r="H880" s="10" t="n">
        <v>1</v>
      </c>
      <c r="I880" s="7">
        <f>H880/(180*0.714)</f>
        <v/>
      </c>
    </row>
    <row r="881">
      <c r="A881" s="4" t="inlineStr">
        <is>
          <t>SERV-10877</t>
        </is>
      </c>
      <c r="B881" s="5" t="inlineStr">
        <is>
          <t>Médico / Enfermeiro da Saúde da Família</t>
        </is>
      </c>
      <c r="C881" s="4" t="inlineStr">
        <is>
          <t>Efetivo Concursado</t>
        </is>
      </c>
      <c r="D881" s="4" t="inlineStr">
        <is>
          <t>SEC-SAU</t>
        </is>
      </c>
      <c r="E881" s="6" t="n">
        <v>13178.59</v>
      </c>
      <c r="F881" s="6">
        <f>E881*0.22</f>
        <v/>
      </c>
      <c r="G881" s="6">
        <f>E881+F881</f>
        <v/>
      </c>
      <c r="H881" s="10" t="n">
        <v>1</v>
      </c>
      <c r="I881" s="7">
        <f>H881/(180*0.714)</f>
        <v/>
      </c>
    </row>
    <row r="882">
      <c r="A882" s="4" t="inlineStr">
        <is>
          <t>SERV-10878</t>
        </is>
      </c>
      <c r="B882" s="5" t="inlineStr">
        <is>
          <t>Médico / Enfermeiro da Saúde da Família</t>
        </is>
      </c>
      <c r="C882" s="4" t="inlineStr">
        <is>
          <t>Efetivo Concursado</t>
        </is>
      </c>
      <c r="D882" s="4" t="inlineStr">
        <is>
          <t>SEC-SAU</t>
        </is>
      </c>
      <c r="E882" s="6" t="n">
        <v>14073.87</v>
      </c>
      <c r="F882" s="6">
        <f>E882*0.22</f>
        <v/>
      </c>
      <c r="G882" s="6">
        <f>E882+F882</f>
        <v/>
      </c>
      <c r="H882" s="10" t="n">
        <v>1</v>
      </c>
      <c r="I882" s="7">
        <f>H882/(180*0.714)</f>
        <v/>
      </c>
    </row>
    <row r="883">
      <c r="A883" s="4" t="inlineStr">
        <is>
          <t>SERV-10879</t>
        </is>
      </c>
      <c r="B883" s="5" t="inlineStr">
        <is>
          <t>Médico / Enfermeiro da Saúde da Família</t>
        </is>
      </c>
      <c r="C883" s="4" t="inlineStr">
        <is>
          <t>Efetivo Concursado</t>
        </is>
      </c>
      <c r="D883" s="4" t="inlineStr">
        <is>
          <t>SEC-SAU</t>
        </is>
      </c>
      <c r="E883" s="6" t="n">
        <v>13707.42</v>
      </c>
      <c r="F883" s="6">
        <f>E883*0.22</f>
        <v/>
      </c>
      <c r="G883" s="6">
        <f>E883+F883</f>
        <v/>
      </c>
      <c r="H883" s="10" t="n">
        <v>1</v>
      </c>
      <c r="I883" s="7">
        <f>H883/(180*0.714)</f>
        <v/>
      </c>
    </row>
    <row r="884">
      <c r="A884" s="4" t="inlineStr">
        <is>
          <t>SERV-10880</t>
        </is>
      </c>
      <c r="B884" s="5" t="inlineStr">
        <is>
          <t>Médico / Enfermeiro da Saúde da Família</t>
        </is>
      </c>
      <c r="C884" s="4" t="inlineStr">
        <is>
          <t>Efetivo Concursado</t>
        </is>
      </c>
      <c r="D884" s="4" t="inlineStr">
        <is>
          <t>SEC-SAU</t>
        </is>
      </c>
      <c r="E884" s="6" t="n">
        <v>12683.54</v>
      </c>
      <c r="F884" s="6">
        <f>E884*0.22</f>
        <v/>
      </c>
      <c r="G884" s="6">
        <f>E884+F884</f>
        <v/>
      </c>
      <c r="H884" s="10" t="n">
        <v>1</v>
      </c>
      <c r="I884" s="7">
        <f>H884/(180*0.714)</f>
        <v/>
      </c>
    </row>
    <row r="885">
      <c r="A885" s="4" t="inlineStr">
        <is>
          <t>SERV-10881</t>
        </is>
      </c>
      <c r="B885" s="5" t="inlineStr">
        <is>
          <t>Médico / Enfermeiro da Saúde da Família</t>
        </is>
      </c>
      <c r="C885" s="4" t="inlineStr">
        <is>
          <t>Efetivo Concursado</t>
        </is>
      </c>
      <c r="D885" s="4" t="inlineStr">
        <is>
          <t>SEC-SAU</t>
        </is>
      </c>
      <c r="E885" s="6" t="n">
        <v>13608.63</v>
      </c>
      <c r="F885" s="6">
        <f>E885*0.22</f>
        <v/>
      </c>
      <c r="G885" s="6">
        <f>E885+F885</f>
        <v/>
      </c>
      <c r="H885" s="10" t="n">
        <v>2</v>
      </c>
      <c r="I885" s="7">
        <f>H885/(180*0.714)</f>
        <v/>
      </c>
    </row>
    <row r="886">
      <c r="A886" s="4" t="inlineStr">
        <is>
          <t>SERV-10882</t>
        </is>
      </c>
      <c r="B886" s="5" t="inlineStr">
        <is>
          <t>Médico / Enfermeiro da Saúde da Família</t>
        </is>
      </c>
      <c r="C886" s="4" t="inlineStr">
        <is>
          <t>Efetivo Concursado</t>
        </is>
      </c>
      <c r="D886" s="4" t="inlineStr">
        <is>
          <t>SEC-SAU</t>
        </is>
      </c>
      <c r="E886" s="6" t="n">
        <v>14023.25</v>
      </c>
      <c r="F886" s="6">
        <f>E886*0.22</f>
        <v/>
      </c>
      <c r="G886" s="6">
        <f>E886+F886</f>
        <v/>
      </c>
      <c r="H886" s="10" t="n">
        <v>3</v>
      </c>
      <c r="I886" s="7">
        <f>H886/(180*0.714)</f>
        <v/>
      </c>
    </row>
    <row r="887">
      <c r="A887" s="4" t="inlineStr">
        <is>
          <t>SERV-10883</t>
        </is>
      </c>
      <c r="B887" s="5" t="inlineStr">
        <is>
          <t>Médico / Enfermeiro da Saúde da Família</t>
        </is>
      </c>
      <c r="C887" s="4" t="inlineStr">
        <is>
          <t>Efetivo Concursado</t>
        </is>
      </c>
      <c r="D887" s="4" t="inlineStr">
        <is>
          <t>SEC-SAU</t>
        </is>
      </c>
      <c r="E887" s="6" t="n">
        <v>13307.79</v>
      </c>
      <c r="F887" s="6">
        <f>E887*0.22</f>
        <v/>
      </c>
      <c r="G887" s="6">
        <f>E887+F887</f>
        <v/>
      </c>
      <c r="H887" s="10" t="n">
        <v>2</v>
      </c>
      <c r="I887" s="7">
        <f>H887/(180*0.714)</f>
        <v/>
      </c>
    </row>
    <row r="888">
      <c r="A888" s="4" t="inlineStr">
        <is>
          <t>SERV-10884</t>
        </is>
      </c>
      <c r="B888" s="5" t="inlineStr">
        <is>
          <t>Médico / Enfermeiro da Saúde da Família</t>
        </is>
      </c>
      <c r="C888" s="4" t="inlineStr">
        <is>
          <t>Efetivo Concursado</t>
        </is>
      </c>
      <c r="D888" s="4" t="inlineStr">
        <is>
          <t>SEC-SAU</t>
        </is>
      </c>
      <c r="E888" s="6" t="n">
        <v>11955.31</v>
      </c>
      <c r="F888" s="6">
        <f>E888*0.22</f>
        <v/>
      </c>
      <c r="G888" s="6">
        <f>E888+F888</f>
        <v/>
      </c>
      <c r="H888" s="10" t="n">
        <v>5</v>
      </c>
      <c r="I888" s="7">
        <f>H888/(180*0.714)</f>
        <v/>
      </c>
    </row>
    <row r="889">
      <c r="A889" s="4" t="inlineStr">
        <is>
          <t>SERV-10885</t>
        </is>
      </c>
      <c r="B889" s="5" t="inlineStr">
        <is>
          <t>Médico / Enfermeiro da Saúde da Família</t>
        </is>
      </c>
      <c r="C889" s="4" t="inlineStr">
        <is>
          <t>Efetivo Concursado</t>
        </is>
      </c>
      <c r="D889" s="4" t="inlineStr">
        <is>
          <t>SEC-SAU</t>
        </is>
      </c>
      <c r="E889" s="6" t="n">
        <v>14299.03</v>
      </c>
      <c r="F889" s="6">
        <f>E889*0.22</f>
        <v/>
      </c>
      <c r="G889" s="6">
        <f>E889+F889</f>
        <v/>
      </c>
      <c r="H889" s="10" t="n">
        <v>1</v>
      </c>
      <c r="I889" s="7">
        <f>H889/(180*0.714)</f>
        <v/>
      </c>
    </row>
    <row r="890">
      <c r="A890" s="4" t="inlineStr">
        <is>
          <t>SERV-10886</t>
        </is>
      </c>
      <c r="B890" s="5" t="inlineStr">
        <is>
          <t>Médico / Enfermeiro da Saúde da Família</t>
        </is>
      </c>
      <c r="C890" s="4" t="inlineStr">
        <is>
          <t>Efetivo Concursado</t>
        </is>
      </c>
      <c r="D890" s="4" t="inlineStr">
        <is>
          <t>SEC-SAU</t>
        </is>
      </c>
      <c r="E890" s="6" t="n">
        <v>13125.45</v>
      </c>
      <c r="F890" s="6">
        <f>E890*0.22</f>
        <v/>
      </c>
      <c r="G890" s="6">
        <f>E890+F890</f>
        <v/>
      </c>
      <c r="H890" s="10" t="n">
        <v>2</v>
      </c>
      <c r="I890" s="7">
        <f>H890/(180*0.714)</f>
        <v/>
      </c>
    </row>
    <row r="891">
      <c r="A891" s="4" t="inlineStr">
        <is>
          <t>SERV-10887</t>
        </is>
      </c>
      <c r="B891" s="5" t="inlineStr">
        <is>
          <t>Médico / Enfermeiro da Saúde da Família</t>
        </is>
      </c>
      <c r="C891" s="4" t="inlineStr">
        <is>
          <t>Efetivo Concursado</t>
        </is>
      </c>
      <c r="D891" s="4" t="inlineStr">
        <is>
          <t>SEC-SAU</t>
        </is>
      </c>
      <c r="E891" s="6" t="n">
        <v>11802.06</v>
      </c>
      <c r="F891" s="6">
        <f>E891*0.22</f>
        <v/>
      </c>
      <c r="G891" s="6">
        <f>E891+F891</f>
        <v/>
      </c>
      <c r="H891" s="10" t="n">
        <v>1</v>
      </c>
      <c r="I891" s="7">
        <f>H891/(180*0.714)</f>
        <v/>
      </c>
    </row>
    <row r="892">
      <c r="A892" s="4" t="inlineStr">
        <is>
          <t>SERV-10888</t>
        </is>
      </c>
      <c r="B892" s="5" t="inlineStr">
        <is>
          <t>Médico / Enfermeiro da Saúde da Família</t>
        </is>
      </c>
      <c r="C892" s="4" t="inlineStr">
        <is>
          <t>Efetivo Concursado</t>
        </is>
      </c>
      <c r="D892" s="4" t="inlineStr">
        <is>
          <t>SEC-SAU</t>
        </is>
      </c>
      <c r="E892" s="6" t="n">
        <v>13759.32</v>
      </c>
      <c r="F892" s="6">
        <f>E892*0.22</f>
        <v/>
      </c>
      <c r="G892" s="6">
        <f>E892+F892</f>
        <v/>
      </c>
      <c r="H892" s="10" t="n">
        <v>3</v>
      </c>
      <c r="I892" s="7">
        <f>H892/(180*0.714)</f>
        <v/>
      </c>
    </row>
    <row r="893">
      <c r="A893" s="4" t="inlineStr">
        <is>
          <t>SERV-10889</t>
        </is>
      </c>
      <c r="B893" s="5" t="inlineStr">
        <is>
          <t>Médico / Enfermeiro da Saúde da Família</t>
        </is>
      </c>
      <c r="C893" s="4" t="inlineStr">
        <is>
          <t>Efetivo Concursado</t>
        </is>
      </c>
      <c r="D893" s="4" t="inlineStr">
        <is>
          <t>SEC-SAU</t>
        </is>
      </c>
      <c r="E893" s="6" t="n">
        <v>13370.68</v>
      </c>
      <c r="F893" s="6">
        <f>E893*0.22</f>
        <v/>
      </c>
      <c r="G893" s="6">
        <f>E893+F893</f>
        <v/>
      </c>
      <c r="H893" s="10" t="n">
        <v>3</v>
      </c>
      <c r="I893" s="7">
        <f>H893/(180*0.714)</f>
        <v/>
      </c>
    </row>
    <row r="894">
      <c r="A894" s="4" t="inlineStr">
        <is>
          <t>SERV-10890</t>
        </is>
      </c>
      <c r="B894" s="5" t="inlineStr">
        <is>
          <t>Médico / Enfermeiro da Saúde da Família</t>
        </is>
      </c>
      <c r="C894" s="4" t="inlineStr">
        <is>
          <t>Efetivo Concursado</t>
        </is>
      </c>
      <c r="D894" s="4" t="inlineStr">
        <is>
          <t>SEC-SAU</t>
        </is>
      </c>
      <c r="E894" s="6" t="n">
        <v>13134.35</v>
      </c>
      <c r="F894" s="6">
        <f>E894*0.22</f>
        <v/>
      </c>
      <c r="G894" s="6">
        <f>E894+F894</f>
        <v/>
      </c>
      <c r="H894" s="10" t="n">
        <v>3</v>
      </c>
      <c r="I894" s="7">
        <f>H894/(180*0.714)</f>
        <v/>
      </c>
    </row>
    <row r="895">
      <c r="A895" s="4" t="inlineStr">
        <is>
          <t>SERV-10891</t>
        </is>
      </c>
      <c r="B895" s="5" t="inlineStr">
        <is>
          <t>Médico / Enfermeiro da Saúde da Família</t>
        </is>
      </c>
      <c r="C895" s="4" t="inlineStr">
        <is>
          <t>Efetivo Concursado</t>
        </is>
      </c>
      <c r="D895" s="4" t="inlineStr">
        <is>
          <t>SEC-SAU</t>
        </is>
      </c>
      <c r="E895" s="6" t="n">
        <v>12809.9</v>
      </c>
      <c r="F895" s="6">
        <f>E895*0.22</f>
        <v/>
      </c>
      <c r="G895" s="6">
        <f>E895+F895</f>
        <v/>
      </c>
      <c r="H895" s="10" t="n">
        <v>3</v>
      </c>
      <c r="I895" s="7">
        <f>H895/(180*0.714)</f>
        <v/>
      </c>
    </row>
    <row r="896">
      <c r="A896" s="4" t="inlineStr">
        <is>
          <t>SERV-10892</t>
        </is>
      </c>
      <c r="B896" s="5" t="inlineStr">
        <is>
          <t>Médico / Enfermeiro da Saúde da Família</t>
        </is>
      </c>
      <c r="C896" s="4" t="inlineStr">
        <is>
          <t>Efetivo Concursado</t>
        </is>
      </c>
      <c r="D896" s="4" t="inlineStr">
        <is>
          <t>SEC-SAU</t>
        </is>
      </c>
      <c r="E896" s="6" t="n">
        <v>12164.56</v>
      </c>
      <c r="F896" s="6">
        <f>E896*0.22</f>
        <v/>
      </c>
      <c r="G896" s="6">
        <f>E896+F896</f>
        <v/>
      </c>
      <c r="H896" s="10" t="n">
        <v>3</v>
      </c>
      <c r="I896" s="7">
        <f>H896/(180*0.714)</f>
        <v/>
      </c>
    </row>
    <row r="897">
      <c r="A897" s="4" t="inlineStr">
        <is>
          <t>SERV-10893</t>
        </is>
      </c>
      <c r="B897" s="5" t="inlineStr">
        <is>
          <t>Médico / Enfermeiro da Saúde da Família</t>
        </is>
      </c>
      <c r="C897" s="4" t="inlineStr">
        <is>
          <t>Efetivo Concursado</t>
        </is>
      </c>
      <c r="D897" s="4" t="inlineStr">
        <is>
          <t>SEC-SAU</t>
        </is>
      </c>
      <c r="E897" s="6" t="n">
        <v>12872.19</v>
      </c>
      <c r="F897" s="6">
        <f>E897*0.22</f>
        <v/>
      </c>
      <c r="G897" s="6">
        <f>E897+F897</f>
        <v/>
      </c>
      <c r="H897" s="10" t="n">
        <v>2</v>
      </c>
      <c r="I897" s="7">
        <f>H897/(180*0.714)</f>
        <v/>
      </c>
    </row>
    <row r="898">
      <c r="A898" s="4" t="inlineStr">
        <is>
          <t>SERV-10894</t>
        </is>
      </c>
      <c r="B898" s="5" t="inlineStr">
        <is>
          <t>Médico / Enfermeiro da Saúde da Família</t>
        </is>
      </c>
      <c r="C898" s="4" t="inlineStr">
        <is>
          <t>Efetivo Concursado</t>
        </is>
      </c>
      <c r="D898" s="4" t="inlineStr">
        <is>
          <t>SEC-SAU</t>
        </is>
      </c>
      <c r="E898" s="6" t="n">
        <v>13963.48</v>
      </c>
      <c r="F898" s="6">
        <f>E898*0.22</f>
        <v/>
      </c>
      <c r="G898" s="6">
        <f>E898+F898</f>
        <v/>
      </c>
      <c r="H898" s="10" t="n">
        <v>1</v>
      </c>
      <c r="I898" s="7">
        <f>H898/(180*0.714)</f>
        <v/>
      </c>
    </row>
    <row r="899">
      <c r="A899" s="4" t="inlineStr">
        <is>
          <t>SERV-10895</t>
        </is>
      </c>
      <c r="B899" s="5" t="inlineStr">
        <is>
          <t>Médico / Enfermeiro da Saúde da Família</t>
        </is>
      </c>
      <c r="C899" s="4" t="inlineStr">
        <is>
          <t>Efetivo Concursado</t>
        </is>
      </c>
      <c r="D899" s="4" t="inlineStr">
        <is>
          <t>SEC-SAU</t>
        </is>
      </c>
      <c r="E899" s="6" t="n">
        <v>13831.64</v>
      </c>
      <c r="F899" s="6">
        <f>E899*0.22</f>
        <v/>
      </c>
      <c r="G899" s="6">
        <f>E899+F899</f>
        <v/>
      </c>
      <c r="H899" s="10" t="n">
        <v>5</v>
      </c>
      <c r="I899" s="7">
        <f>H899/(180*0.714)</f>
        <v/>
      </c>
    </row>
    <row r="900">
      <c r="A900" s="4" t="inlineStr">
        <is>
          <t>SERV-10896</t>
        </is>
      </c>
      <c r="B900" s="5" t="inlineStr">
        <is>
          <t>Médico / Enfermeiro da Saúde da Família</t>
        </is>
      </c>
      <c r="C900" s="4" t="inlineStr">
        <is>
          <t>Efetivo Concursado</t>
        </is>
      </c>
      <c r="D900" s="4" t="inlineStr">
        <is>
          <t>SEC-SAU</t>
        </is>
      </c>
      <c r="E900" s="6" t="n">
        <v>12988.28</v>
      </c>
      <c r="F900" s="6">
        <f>E900*0.22</f>
        <v/>
      </c>
      <c r="G900" s="6">
        <f>E900+F900</f>
        <v/>
      </c>
      <c r="H900" s="10" t="n">
        <v>3</v>
      </c>
      <c r="I900" s="7">
        <f>H900/(180*0.714)</f>
        <v/>
      </c>
    </row>
    <row r="901">
      <c r="A901" s="4" t="inlineStr">
        <is>
          <t>SERV-10897</t>
        </is>
      </c>
      <c r="B901" s="5" t="inlineStr">
        <is>
          <t>Médico / Enfermeiro da Saúde da Família</t>
        </is>
      </c>
      <c r="C901" s="4" t="inlineStr">
        <is>
          <t>Efetivo Concursado</t>
        </is>
      </c>
      <c r="D901" s="4" t="inlineStr">
        <is>
          <t>SEC-SAU</t>
        </is>
      </c>
      <c r="E901" s="6" t="n">
        <v>11940.18</v>
      </c>
      <c r="F901" s="6">
        <f>E901*0.22</f>
        <v/>
      </c>
      <c r="G901" s="6">
        <f>E901+F901</f>
        <v/>
      </c>
      <c r="H901" s="10" t="n">
        <v>3</v>
      </c>
      <c r="I901" s="7">
        <f>H901/(180*0.714)</f>
        <v/>
      </c>
    </row>
    <row r="902">
      <c r="A902" s="4" t="inlineStr">
        <is>
          <t>SERV-10898</t>
        </is>
      </c>
      <c r="B902" s="5" t="inlineStr">
        <is>
          <t>Médico / Enfermeiro da Saúde da Família</t>
        </is>
      </c>
      <c r="C902" s="4" t="inlineStr">
        <is>
          <t>Efetivo Concursado</t>
        </is>
      </c>
      <c r="D902" s="4" t="inlineStr">
        <is>
          <t>SEC-SAU</t>
        </is>
      </c>
      <c r="E902" s="6" t="n">
        <v>12341.19</v>
      </c>
      <c r="F902" s="6">
        <f>E902*0.22</f>
        <v/>
      </c>
      <c r="G902" s="6">
        <f>E902+F902</f>
        <v/>
      </c>
      <c r="H902" s="10" t="n">
        <v>4</v>
      </c>
      <c r="I902" s="7">
        <f>H902/(180*0.714)</f>
        <v/>
      </c>
    </row>
    <row r="903">
      <c r="A903" s="4" t="inlineStr">
        <is>
          <t>SERV-10899</t>
        </is>
      </c>
      <c r="B903" s="5" t="inlineStr">
        <is>
          <t>Médico / Enfermeiro da Saúde da Família</t>
        </is>
      </c>
      <c r="C903" s="4" t="inlineStr">
        <is>
          <t>Efetivo Concursado</t>
        </is>
      </c>
      <c r="D903" s="4" t="inlineStr">
        <is>
          <t>SEC-SAU</t>
        </is>
      </c>
      <c r="E903" s="6" t="n">
        <v>13572.88</v>
      </c>
      <c r="F903" s="6">
        <f>E903*0.22</f>
        <v/>
      </c>
      <c r="G903" s="6">
        <f>E903+F903</f>
        <v/>
      </c>
      <c r="H903" s="10" t="n">
        <v>2</v>
      </c>
      <c r="I903" s="7">
        <f>H903/(180*0.714)</f>
        <v/>
      </c>
    </row>
    <row r="904">
      <c r="A904" s="4" t="inlineStr">
        <is>
          <t>SERV-10900</t>
        </is>
      </c>
      <c r="B904" s="5" t="inlineStr">
        <is>
          <t>Médico / Enfermeiro da Saúde da Família</t>
        </is>
      </c>
      <c r="C904" s="4" t="inlineStr">
        <is>
          <t>Efetivo Concursado</t>
        </is>
      </c>
      <c r="D904" s="4" t="inlineStr">
        <is>
          <t>SEC-SAU</t>
        </is>
      </c>
      <c r="E904" s="6" t="n">
        <v>12763.59</v>
      </c>
      <c r="F904" s="6">
        <f>E904*0.22</f>
        <v/>
      </c>
      <c r="G904" s="6">
        <f>E904+F904</f>
        <v/>
      </c>
      <c r="H904" s="10" t="n">
        <v>4</v>
      </c>
      <c r="I904" s="7">
        <f>H904/(180*0.714)</f>
        <v/>
      </c>
    </row>
    <row r="905">
      <c r="A905" s="4" t="inlineStr">
        <is>
          <t>SERV-10901</t>
        </is>
      </c>
      <c r="B905" s="5" t="inlineStr">
        <is>
          <t>Médico / Enfermeiro da Saúde da Família</t>
        </is>
      </c>
      <c r="C905" s="4" t="inlineStr">
        <is>
          <t>Efetivo Concursado</t>
        </is>
      </c>
      <c r="D905" s="4" t="inlineStr">
        <is>
          <t>SEC-SAU</t>
        </is>
      </c>
      <c r="E905" s="6" t="n">
        <v>13330</v>
      </c>
      <c r="F905" s="6">
        <f>E905*0.22</f>
        <v/>
      </c>
      <c r="G905" s="6">
        <f>E905+F905</f>
        <v/>
      </c>
      <c r="H905" s="10" t="n">
        <v>5</v>
      </c>
      <c r="I905" s="7">
        <f>H905/(180*0.714)</f>
        <v/>
      </c>
    </row>
    <row r="906">
      <c r="A906" s="4" t="inlineStr">
        <is>
          <t>SERV-10902</t>
        </is>
      </c>
      <c r="B906" s="5" t="inlineStr">
        <is>
          <t>Médico / Enfermeiro da Saúde da Família</t>
        </is>
      </c>
      <c r="C906" s="4" t="inlineStr">
        <is>
          <t>Efetivo Concursado</t>
        </is>
      </c>
      <c r="D906" s="4" t="inlineStr">
        <is>
          <t>SEC-SAU</t>
        </is>
      </c>
      <c r="E906" s="6" t="n">
        <v>12656.78</v>
      </c>
      <c r="F906" s="6">
        <f>E906*0.22</f>
        <v/>
      </c>
      <c r="G906" s="6">
        <f>E906+F906</f>
        <v/>
      </c>
      <c r="H906" s="10" t="n">
        <v>2</v>
      </c>
      <c r="I906" s="7">
        <f>H906/(180*0.714)</f>
        <v/>
      </c>
    </row>
    <row r="907">
      <c r="A907" s="4" t="inlineStr">
        <is>
          <t>SERV-10903</t>
        </is>
      </c>
      <c r="B907" s="5" t="inlineStr">
        <is>
          <t>Médico / Enfermeiro da Saúde da Família</t>
        </is>
      </c>
      <c r="C907" s="4" t="inlineStr">
        <is>
          <t>Efetivo Concursado</t>
        </is>
      </c>
      <c r="D907" s="4" t="inlineStr">
        <is>
          <t>SEC-SAU</t>
        </is>
      </c>
      <c r="E907" s="6" t="n">
        <v>12185.57</v>
      </c>
      <c r="F907" s="6">
        <f>E907*0.22</f>
        <v/>
      </c>
      <c r="G907" s="6">
        <f>E907+F907</f>
        <v/>
      </c>
      <c r="H907" s="10" t="n">
        <v>2</v>
      </c>
      <c r="I907" s="7">
        <f>H907/(180*0.714)</f>
        <v/>
      </c>
    </row>
    <row r="908">
      <c r="A908" s="4" t="inlineStr">
        <is>
          <t>SERV-10904</t>
        </is>
      </c>
      <c r="B908" s="5" t="inlineStr">
        <is>
          <t>Médico / Enfermeiro da Saúde da Família</t>
        </is>
      </c>
      <c r="C908" s="4" t="inlineStr">
        <is>
          <t>Efetivo Concursado</t>
        </is>
      </c>
      <c r="D908" s="4" t="inlineStr">
        <is>
          <t>SEC-SAU</t>
        </is>
      </c>
      <c r="E908" s="6" t="n">
        <v>13683.29</v>
      </c>
      <c r="F908" s="6">
        <f>E908*0.22</f>
        <v/>
      </c>
      <c r="G908" s="6">
        <f>E908+F908</f>
        <v/>
      </c>
      <c r="H908" s="10" t="n">
        <v>5</v>
      </c>
      <c r="I908" s="7">
        <f>H908/(180*0.714)</f>
        <v/>
      </c>
    </row>
    <row r="909">
      <c r="A909" s="4" t="inlineStr">
        <is>
          <t>SERV-10905</t>
        </is>
      </c>
      <c r="B909" s="5" t="inlineStr">
        <is>
          <t>Médico / Enfermeiro da Saúde da Família</t>
        </is>
      </c>
      <c r="C909" s="4" t="inlineStr">
        <is>
          <t>Efetivo Concursado</t>
        </is>
      </c>
      <c r="D909" s="4" t="inlineStr">
        <is>
          <t>SEC-SAU</t>
        </is>
      </c>
      <c r="E909" s="6" t="n">
        <v>11856.28</v>
      </c>
      <c r="F909" s="6">
        <f>E909*0.22</f>
        <v/>
      </c>
      <c r="G909" s="6">
        <f>E909+F909</f>
        <v/>
      </c>
      <c r="H909" s="10" t="n">
        <v>1</v>
      </c>
      <c r="I909" s="7">
        <f>H909/(180*0.714)</f>
        <v/>
      </c>
    </row>
    <row r="910">
      <c r="A910" s="4" t="inlineStr">
        <is>
          <t>SERV-10906</t>
        </is>
      </c>
      <c r="B910" s="5" t="inlineStr">
        <is>
          <t>Médico / Enfermeiro da Saúde da Família</t>
        </is>
      </c>
      <c r="C910" s="4" t="inlineStr">
        <is>
          <t>Efetivo Concursado</t>
        </is>
      </c>
      <c r="D910" s="4" t="inlineStr">
        <is>
          <t>SEC-SAU</t>
        </is>
      </c>
      <c r="E910" s="6" t="n">
        <v>13526.38</v>
      </c>
      <c r="F910" s="6">
        <f>E910*0.22</f>
        <v/>
      </c>
      <c r="G910" s="6">
        <f>E910+F910</f>
        <v/>
      </c>
      <c r="H910" s="10" t="n">
        <v>4</v>
      </c>
      <c r="I910" s="7">
        <f>H910/(180*0.714)</f>
        <v/>
      </c>
    </row>
    <row r="911">
      <c r="A911" s="4" t="inlineStr">
        <is>
          <t>SERV-10907</t>
        </is>
      </c>
      <c r="B911" s="5" t="inlineStr">
        <is>
          <t>Médico / Enfermeiro da Saúde da Família</t>
        </is>
      </c>
      <c r="C911" s="4" t="inlineStr">
        <is>
          <t>Efetivo Concursado</t>
        </is>
      </c>
      <c r="D911" s="4" t="inlineStr">
        <is>
          <t>SEC-SAU</t>
        </is>
      </c>
      <c r="E911" s="6" t="n">
        <v>14084.71</v>
      </c>
      <c r="F911" s="6">
        <f>E911*0.22</f>
        <v/>
      </c>
      <c r="G911" s="6">
        <f>E911+F911</f>
        <v/>
      </c>
      <c r="H911" s="10" t="n">
        <v>5</v>
      </c>
      <c r="I911" s="7">
        <f>H911/(180*0.714)</f>
        <v/>
      </c>
    </row>
    <row r="912">
      <c r="A912" s="4" t="inlineStr">
        <is>
          <t>SERV-10908</t>
        </is>
      </c>
      <c r="B912" s="5" t="inlineStr">
        <is>
          <t>Médico / Enfermeiro da Saúde da Família</t>
        </is>
      </c>
      <c r="C912" s="4" t="inlineStr">
        <is>
          <t>Efetivo Concursado</t>
        </is>
      </c>
      <c r="D912" s="4" t="inlineStr">
        <is>
          <t>SEC-SAU</t>
        </is>
      </c>
      <c r="E912" s="6" t="n">
        <v>12078.07</v>
      </c>
      <c r="F912" s="6">
        <f>E912*0.22</f>
        <v/>
      </c>
      <c r="G912" s="6">
        <f>E912+F912</f>
        <v/>
      </c>
      <c r="H912" s="10" t="n">
        <v>3</v>
      </c>
      <c r="I912" s="7">
        <f>H912/(180*0.714)</f>
        <v/>
      </c>
    </row>
    <row r="913">
      <c r="A913" s="4" t="inlineStr">
        <is>
          <t>SERV-10909</t>
        </is>
      </c>
      <c r="B913" s="5" t="inlineStr">
        <is>
          <t>Médico / Enfermeiro da Saúde da Família</t>
        </is>
      </c>
      <c r="C913" s="4" t="inlineStr">
        <is>
          <t>Efetivo Concursado</t>
        </is>
      </c>
      <c r="D913" s="4" t="inlineStr">
        <is>
          <t>SEC-SAU</t>
        </is>
      </c>
      <c r="E913" s="6" t="n">
        <v>13981.7</v>
      </c>
      <c r="F913" s="6">
        <f>E913*0.22</f>
        <v/>
      </c>
      <c r="G913" s="6">
        <f>E913+F913</f>
        <v/>
      </c>
      <c r="H913" s="10" t="n">
        <v>1</v>
      </c>
      <c r="I913" s="7">
        <f>H913/(180*0.714)</f>
        <v/>
      </c>
    </row>
    <row r="914">
      <c r="A914" s="4" t="inlineStr">
        <is>
          <t>SERV-10910</t>
        </is>
      </c>
      <c r="B914" s="5" t="inlineStr">
        <is>
          <t>Médico / Enfermeiro da Saúde da Família</t>
        </is>
      </c>
      <c r="C914" s="4" t="inlineStr">
        <is>
          <t>Efetivo Concursado</t>
        </is>
      </c>
      <c r="D914" s="4" t="inlineStr">
        <is>
          <t>SEC-SAU</t>
        </is>
      </c>
      <c r="E914" s="6" t="n">
        <v>11854.03</v>
      </c>
      <c r="F914" s="6">
        <f>E914*0.22</f>
        <v/>
      </c>
      <c r="G914" s="6">
        <f>E914+F914</f>
        <v/>
      </c>
      <c r="H914" s="10" t="n">
        <v>5</v>
      </c>
      <c r="I914" s="7">
        <f>H914/(180*0.714)</f>
        <v/>
      </c>
    </row>
    <row r="915">
      <c r="A915" s="4" t="inlineStr">
        <is>
          <t>SERV-10911</t>
        </is>
      </c>
      <c r="B915" s="5" t="inlineStr">
        <is>
          <t>Médico / Enfermeiro da Saúde da Família</t>
        </is>
      </c>
      <c r="C915" s="4" t="inlineStr">
        <is>
          <t>Efetivo Concursado</t>
        </is>
      </c>
      <c r="D915" s="4" t="inlineStr">
        <is>
          <t>SEC-SAU</t>
        </is>
      </c>
      <c r="E915" s="6" t="n">
        <v>13045.07</v>
      </c>
      <c r="F915" s="6">
        <f>E915*0.22</f>
        <v/>
      </c>
      <c r="G915" s="6">
        <f>E915+F915</f>
        <v/>
      </c>
      <c r="H915" s="10" t="n">
        <v>3</v>
      </c>
      <c r="I915" s="7">
        <f>H915/(180*0.714)</f>
        <v/>
      </c>
    </row>
    <row r="916">
      <c r="A916" s="4" t="inlineStr">
        <is>
          <t>SERV-10912</t>
        </is>
      </c>
      <c r="B916" s="5" t="inlineStr">
        <is>
          <t>Médico / Enfermeiro da Saúde da Família</t>
        </is>
      </c>
      <c r="C916" s="4" t="inlineStr">
        <is>
          <t>Efetivo Concursado</t>
        </is>
      </c>
      <c r="D916" s="4" t="inlineStr">
        <is>
          <t>SEC-SAU</t>
        </is>
      </c>
      <c r="E916" s="6" t="n">
        <v>12644.33</v>
      </c>
      <c r="F916" s="6">
        <f>E916*0.22</f>
        <v/>
      </c>
      <c r="G916" s="6">
        <f>E916+F916</f>
        <v/>
      </c>
      <c r="H916" s="10" t="n">
        <v>5</v>
      </c>
      <c r="I916" s="7">
        <f>H916/(180*0.714)</f>
        <v/>
      </c>
    </row>
    <row r="917">
      <c r="A917" s="4" t="inlineStr">
        <is>
          <t>SERV-10913</t>
        </is>
      </c>
      <c r="B917" s="5" t="inlineStr">
        <is>
          <t>Médico / Enfermeiro da Saúde da Família</t>
        </is>
      </c>
      <c r="C917" s="4" t="inlineStr">
        <is>
          <t>Efetivo Concursado</t>
        </is>
      </c>
      <c r="D917" s="4" t="inlineStr">
        <is>
          <t>SEC-SAU</t>
        </is>
      </c>
      <c r="E917" s="6" t="n">
        <v>13682.82</v>
      </c>
      <c r="F917" s="6">
        <f>E917*0.22</f>
        <v/>
      </c>
      <c r="G917" s="6">
        <f>E917+F917</f>
        <v/>
      </c>
      <c r="H917" s="10" t="n">
        <v>3</v>
      </c>
      <c r="I917" s="7">
        <f>H917/(180*0.714)</f>
        <v/>
      </c>
    </row>
    <row r="918">
      <c r="A918" s="4" t="inlineStr">
        <is>
          <t>SERV-10914</t>
        </is>
      </c>
      <c r="B918" s="5" t="inlineStr">
        <is>
          <t>Médico / Enfermeiro da Saúde da Família</t>
        </is>
      </c>
      <c r="C918" s="4" t="inlineStr">
        <is>
          <t>Efetivo Concursado</t>
        </is>
      </c>
      <c r="D918" s="4" t="inlineStr">
        <is>
          <t>SEC-SAU</t>
        </is>
      </c>
      <c r="E918" s="6" t="n">
        <v>14040.97</v>
      </c>
      <c r="F918" s="6">
        <f>E918*0.22</f>
        <v/>
      </c>
      <c r="G918" s="6">
        <f>E918+F918</f>
        <v/>
      </c>
      <c r="H918" s="10" t="n">
        <v>2</v>
      </c>
      <c r="I918" s="7">
        <f>H918/(180*0.714)</f>
        <v/>
      </c>
    </row>
    <row r="919">
      <c r="A919" s="4" t="inlineStr">
        <is>
          <t>SERV-10915</t>
        </is>
      </c>
      <c r="B919" s="5" t="inlineStr">
        <is>
          <t>Médico / Enfermeiro da Saúde da Família</t>
        </is>
      </c>
      <c r="C919" s="4" t="inlineStr">
        <is>
          <t>Efetivo Concursado</t>
        </is>
      </c>
      <c r="D919" s="4" t="inlineStr">
        <is>
          <t>SEC-SAU</t>
        </is>
      </c>
      <c r="E919" s="6" t="n">
        <v>12121.57</v>
      </c>
      <c r="F919" s="6">
        <f>E919*0.22</f>
        <v/>
      </c>
      <c r="G919" s="6">
        <f>E919+F919</f>
        <v/>
      </c>
      <c r="H919" s="10" t="n">
        <v>5</v>
      </c>
      <c r="I919" s="7">
        <f>H919/(180*0.714)</f>
        <v/>
      </c>
    </row>
    <row r="920">
      <c r="A920" s="4" t="inlineStr">
        <is>
          <t>SERV-10916</t>
        </is>
      </c>
      <c r="B920" s="5" t="inlineStr">
        <is>
          <t>Médico / Enfermeiro da Saúde da Família</t>
        </is>
      </c>
      <c r="C920" s="4" t="inlineStr">
        <is>
          <t>Efetivo Concursado</t>
        </is>
      </c>
      <c r="D920" s="4" t="inlineStr">
        <is>
          <t>SEC-SAU</t>
        </is>
      </c>
      <c r="E920" s="6" t="n">
        <v>12036.24</v>
      </c>
      <c r="F920" s="6">
        <f>E920*0.22</f>
        <v/>
      </c>
      <c r="G920" s="6">
        <f>E920+F920</f>
        <v/>
      </c>
      <c r="H920" s="10" t="n">
        <v>2</v>
      </c>
      <c r="I920" s="7">
        <f>H920/(180*0.714)</f>
        <v/>
      </c>
    </row>
    <row r="921">
      <c r="A921" s="4" t="inlineStr">
        <is>
          <t>SERV-10917</t>
        </is>
      </c>
      <c r="B921" s="5" t="inlineStr">
        <is>
          <t>Médico / Enfermeiro da Saúde da Família</t>
        </is>
      </c>
      <c r="C921" s="4" t="inlineStr">
        <is>
          <t>Efetivo Concursado</t>
        </is>
      </c>
      <c r="D921" s="4" t="inlineStr">
        <is>
          <t>SEC-SAU</t>
        </is>
      </c>
      <c r="E921" s="6" t="n">
        <v>13279.08</v>
      </c>
      <c r="F921" s="6">
        <f>E921*0.22</f>
        <v/>
      </c>
      <c r="G921" s="6">
        <f>E921+F921</f>
        <v/>
      </c>
      <c r="H921" s="10" t="n">
        <v>1</v>
      </c>
      <c r="I921" s="7">
        <f>H921/(180*0.714)</f>
        <v/>
      </c>
    </row>
    <row r="922">
      <c r="A922" s="4" t="inlineStr">
        <is>
          <t>SERV-10918</t>
        </is>
      </c>
      <c r="B922" s="5" t="inlineStr">
        <is>
          <t>Médico / Enfermeiro da Saúde da Família</t>
        </is>
      </c>
      <c r="C922" s="4" t="inlineStr">
        <is>
          <t>Efetivo Concursado</t>
        </is>
      </c>
      <c r="D922" s="4" t="inlineStr">
        <is>
          <t>SEC-SAU</t>
        </is>
      </c>
      <c r="E922" s="6" t="n">
        <v>14305.11</v>
      </c>
      <c r="F922" s="6">
        <f>E922*0.22</f>
        <v/>
      </c>
      <c r="G922" s="6">
        <f>E922+F922</f>
        <v/>
      </c>
      <c r="H922" s="10" t="n">
        <v>3</v>
      </c>
      <c r="I922" s="7">
        <f>H922/(180*0.714)</f>
        <v/>
      </c>
    </row>
    <row r="923">
      <c r="A923" s="4" t="inlineStr">
        <is>
          <t>SERV-10919</t>
        </is>
      </c>
      <c r="B923" s="5" t="inlineStr">
        <is>
          <t>Médico / Enfermeiro da Saúde da Família</t>
        </is>
      </c>
      <c r="C923" s="4" t="inlineStr">
        <is>
          <t>Efetivo Concursado</t>
        </is>
      </c>
      <c r="D923" s="4" t="inlineStr">
        <is>
          <t>SEC-SAU</t>
        </is>
      </c>
      <c r="E923" s="6" t="n">
        <v>13076.21</v>
      </c>
      <c r="F923" s="6">
        <f>E923*0.22</f>
        <v/>
      </c>
      <c r="G923" s="6">
        <f>E923+F923</f>
        <v/>
      </c>
      <c r="H923" s="10" t="n">
        <v>2</v>
      </c>
      <c r="I923" s="7">
        <f>H923/(180*0.714)</f>
        <v/>
      </c>
    </row>
    <row r="924">
      <c r="A924" s="4" t="inlineStr">
        <is>
          <t>SERV-10920</t>
        </is>
      </c>
      <c r="B924" s="5" t="inlineStr">
        <is>
          <t>Médico / Enfermeiro da Saúde da Família</t>
        </is>
      </c>
      <c r="C924" s="4" t="inlineStr">
        <is>
          <t>Efetivo Concursado</t>
        </is>
      </c>
      <c r="D924" s="4" t="inlineStr">
        <is>
          <t>SEC-SAU</t>
        </is>
      </c>
      <c r="E924" s="6" t="n">
        <v>12897.26</v>
      </c>
      <c r="F924" s="6">
        <f>E924*0.22</f>
        <v/>
      </c>
      <c r="G924" s="6">
        <f>E924+F924</f>
        <v/>
      </c>
      <c r="H924" s="10" t="n">
        <v>2</v>
      </c>
      <c r="I924" s="7">
        <f>H924/(180*0.714)</f>
        <v/>
      </c>
    </row>
    <row r="925">
      <c r="A925" s="4" t="inlineStr">
        <is>
          <t>SERV-10921</t>
        </is>
      </c>
      <c r="B925" s="5" t="inlineStr">
        <is>
          <t>Médico / Enfermeiro da Saúde da Família</t>
        </is>
      </c>
      <c r="C925" s="4" t="inlineStr">
        <is>
          <t>Efetivo Concursado</t>
        </is>
      </c>
      <c r="D925" s="4" t="inlineStr">
        <is>
          <t>SEC-SAU</t>
        </is>
      </c>
      <c r="E925" s="6" t="n">
        <v>14050.97</v>
      </c>
      <c r="F925" s="6">
        <f>E925*0.22</f>
        <v/>
      </c>
      <c r="G925" s="6">
        <f>E925+F925</f>
        <v/>
      </c>
      <c r="H925" s="10" t="n">
        <v>4</v>
      </c>
      <c r="I925" s="7">
        <f>H925/(180*0.714)</f>
        <v/>
      </c>
    </row>
    <row r="926">
      <c r="A926" s="4" t="inlineStr">
        <is>
          <t>SERV-10922</t>
        </is>
      </c>
      <c r="B926" s="5" t="inlineStr">
        <is>
          <t>Médico / Enfermeiro da Saúde da Família</t>
        </is>
      </c>
      <c r="C926" s="4" t="inlineStr">
        <is>
          <t>Efetivo Concursado</t>
        </is>
      </c>
      <c r="D926" s="4" t="inlineStr">
        <is>
          <t>SEC-SAU</t>
        </is>
      </c>
      <c r="E926" s="6" t="n">
        <v>12909.45</v>
      </c>
      <c r="F926" s="6">
        <f>E926*0.22</f>
        <v/>
      </c>
      <c r="G926" s="6">
        <f>E926+F926</f>
        <v/>
      </c>
      <c r="H926" s="10" t="n">
        <v>2</v>
      </c>
      <c r="I926" s="7">
        <f>H926/(180*0.714)</f>
        <v/>
      </c>
    </row>
    <row r="927">
      <c r="A927" s="4" t="inlineStr">
        <is>
          <t>SERV-10923</t>
        </is>
      </c>
      <c r="B927" s="5" t="inlineStr">
        <is>
          <t>Médico / Enfermeiro da Saúde da Família</t>
        </is>
      </c>
      <c r="C927" s="4" t="inlineStr">
        <is>
          <t>Efetivo Concursado</t>
        </is>
      </c>
      <c r="D927" s="4" t="inlineStr">
        <is>
          <t>SEC-SAU</t>
        </is>
      </c>
      <c r="E927" s="6" t="n">
        <v>14060.64</v>
      </c>
      <c r="F927" s="6">
        <f>E927*0.22</f>
        <v/>
      </c>
      <c r="G927" s="6">
        <f>E927+F927</f>
        <v/>
      </c>
      <c r="H927" s="10" t="n">
        <v>2</v>
      </c>
      <c r="I927" s="7">
        <f>H927/(180*0.714)</f>
        <v/>
      </c>
    </row>
    <row r="928">
      <c r="A928" s="4" t="inlineStr">
        <is>
          <t>SERV-10924</t>
        </is>
      </c>
      <c r="B928" s="5" t="inlineStr">
        <is>
          <t>Médico / Enfermeiro da Saúde da Família</t>
        </is>
      </c>
      <c r="C928" s="4" t="inlineStr">
        <is>
          <t>Efetivo Concursado</t>
        </is>
      </c>
      <c r="D928" s="4" t="inlineStr">
        <is>
          <t>SEC-SAU</t>
        </is>
      </c>
      <c r="E928" s="6" t="n">
        <v>12790.43</v>
      </c>
      <c r="F928" s="6">
        <f>E928*0.22</f>
        <v/>
      </c>
      <c r="G928" s="6">
        <f>E928+F928</f>
        <v/>
      </c>
      <c r="H928" s="10" t="n">
        <v>5</v>
      </c>
      <c r="I928" s="7">
        <f>H928/(180*0.714)</f>
        <v/>
      </c>
    </row>
    <row r="929">
      <c r="A929" s="4" t="inlineStr">
        <is>
          <t>SERV-10925</t>
        </is>
      </c>
      <c r="B929" s="5" t="inlineStr">
        <is>
          <t>Médico / Enfermeiro da Saúde da Família</t>
        </is>
      </c>
      <c r="C929" s="4" t="inlineStr">
        <is>
          <t>Efetivo Concursado</t>
        </is>
      </c>
      <c r="D929" s="4" t="inlineStr">
        <is>
          <t>SEC-SAU</t>
        </is>
      </c>
      <c r="E929" s="6" t="n">
        <v>13864.14</v>
      </c>
      <c r="F929" s="6">
        <f>E929*0.22</f>
        <v/>
      </c>
      <c r="G929" s="6">
        <f>E929+F929</f>
        <v/>
      </c>
      <c r="H929" s="10" t="n">
        <v>2</v>
      </c>
      <c r="I929" s="7">
        <f>H929/(180*0.714)</f>
        <v/>
      </c>
    </row>
    <row r="930">
      <c r="A930" s="4" t="inlineStr">
        <is>
          <t>SERV-10926</t>
        </is>
      </c>
      <c r="B930" s="5" t="inlineStr">
        <is>
          <t>Médico / Enfermeiro da Saúde da Família</t>
        </is>
      </c>
      <c r="C930" s="4" t="inlineStr">
        <is>
          <t>Efetivo Concursado</t>
        </is>
      </c>
      <c r="D930" s="4" t="inlineStr">
        <is>
          <t>SEC-SAU</t>
        </is>
      </c>
      <c r="E930" s="6" t="n">
        <v>13177.69</v>
      </c>
      <c r="F930" s="6">
        <f>E930*0.22</f>
        <v/>
      </c>
      <c r="G930" s="6">
        <f>E930+F930</f>
        <v/>
      </c>
      <c r="H930" s="10" t="n">
        <v>5</v>
      </c>
      <c r="I930" s="7">
        <f>H930/(180*0.714)</f>
        <v/>
      </c>
    </row>
    <row r="931">
      <c r="A931" s="4" t="inlineStr">
        <is>
          <t>SERV-10927</t>
        </is>
      </c>
      <c r="B931" s="5" t="inlineStr">
        <is>
          <t>Médico / Enfermeiro da Saúde da Família</t>
        </is>
      </c>
      <c r="C931" s="4" t="inlineStr">
        <is>
          <t>Efetivo Concursado</t>
        </is>
      </c>
      <c r="D931" s="4" t="inlineStr">
        <is>
          <t>SEC-SAU</t>
        </is>
      </c>
      <c r="E931" s="6" t="n">
        <v>12735.5</v>
      </c>
      <c r="F931" s="6">
        <f>E931*0.22</f>
        <v/>
      </c>
      <c r="G931" s="6">
        <f>E931+F931</f>
        <v/>
      </c>
      <c r="H931" s="10" t="n">
        <v>3</v>
      </c>
      <c r="I931" s="7">
        <f>H931/(180*0.714)</f>
        <v/>
      </c>
    </row>
    <row r="932">
      <c r="A932" s="4" t="inlineStr">
        <is>
          <t>SERV-10928</t>
        </is>
      </c>
      <c r="B932" s="5" t="inlineStr">
        <is>
          <t>Médico / Enfermeiro da Saúde da Família</t>
        </is>
      </c>
      <c r="C932" s="4" t="inlineStr">
        <is>
          <t>Efetivo Concursado</t>
        </is>
      </c>
      <c r="D932" s="4" t="inlineStr">
        <is>
          <t>SEC-SAU</t>
        </is>
      </c>
      <c r="E932" s="6" t="n">
        <v>13342.46</v>
      </c>
      <c r="F932" s="6">
        <f>E932*0.22</f>
        <v/>
      </c>
      <c r="G932" s="6">
        <f>E932+F932</f>
        <v/>
      </c>
      <c r="H932" s="10" t="n">
        <v>5</v>
      </c>
      <c r="I932" s="7">
        <f>H932/(180*0.714)</f>
        <v/>
      </c>
    </row>
    <row r="933">
      <c r="A933" s="4" t="inlineStr">
        <is>
          <t>SERV-10929</t>
        </is>
      </c>
      <c r="B933" s="5" t="inlineStr">
        <is>
          <t>Médico / Enfermeiro da Saúde da Família</t>
        </is>
      </c>
      <c r="C933" s="4" t="inlineStr">
        <is>
          <t>Efetivo Concursado</t>
        </is>
      </c>
      <c r="D933" s="4" t="inlineStr">
        <is>
          <t>SEC-SAU</t>
        </is>
      </c>
      <c r="E933" s="6" t="n">
        <v>13210.03</v>
      </c>
      <c r="F933" s="6">
        <f>E933*0.22</f>
        <v/>
      </c>
      <c r="G933" s="6">
        <f>E933+F933</f>
        <v/>
      </c>
      <c r="H933" s="10" t="n">
        <v>5</v>
      </c>
      <c r="I933" s="7">
        <f>H933/(180*0.714)</f>
        <v/>
      </c>
    </row>
    <row r="934">
      <c r="A934" s="4" t="inlineStr">
        <is>
          <t>SERV-10930</t>
        </is>
      </c>
      <c r="B934" s="5" t="inlineStr">
        <is>
          <t>Médico / Enfermeiro da Saúde da Família</t>
        </is>
      </c>
      <c r="C934" s="4" t="inlineStr">
        <is>
          <t>Efetivo Concursado</t>
        </is>
      </c>
      <c r="D934" s="4" t="inlineStr">
        <is>
          <t>SEC-SAU</t>
        </is>
      </c>
      <c r="E934" s="6" t="n">
        <v>13877.41</v>
      </c>
      <c r="F934" s="6">
        <f>E934*0.22</f>
        <v/>
      </c>
      <c r="G934" s="6">
        <f>E934+F934</f>
        <v/>
      </c>
      <c r="H934" s="10" t="n">
        <v>3</v>
      </c>
      <c r="I934" s="7">
        <f>H934/(180*0.714)</f>
        <v/>
      </c>
    </row>
    <row r="935">
      <c r="A935" s="4" t="inlineStr">
        <is>
          <t>SERV-10931</t>
        </is>
      </c>
      <c r="B935" s="5" t="inlineStr">
        <is>
          <t>Médico / Enfermeiro da Saúde da Família</t>
        </is>
      </c>
      <c r="C935" s="4" t="inlineStr">
        <is>
          <t>Efetivo Concursado</t>
        </is>
      </c>
      <c r="D935" s="4" t="inlineStr">
        <is>
          <t>SEC-SAU</t>
        </is>
      </c>
      <c r="E935" s="6" t="n">
        <v>13306.42</v>
      </c>
      <c r="F935" s="6">
        <f>E935*0.22</f>
        <v/>
      </c>
      <c r="G935" s="6">
        <f>E935+F935</f>
        <v/>
      </c>
      <c r="H935" s="10" t="n">
        <v>5</v>
      </c>
      <c r="I935" s="7">
        <f>H935/(180*0.714)</f>
        <v/>
      </c>
    </row>
    <row r="936">
      <c r="A936" s="4" t="inlineStr">
        <is>
          <t>SERV-10932</t>
        </is>
      </c>
      <c r="B936" s="5" t="inlineStr">
        <is>
          <t>Médico / Enfermeiro da Saúde da Família</t>
        </is>
      </c>
      <c r="C936" s="4" t="inlineStr">
        <is>
          <t>Efetivo Concursado</t>
        </is>
      </c>
      <c r="D936" s="4" t="inlineStr">
        <is>
          <t>SEC-SAU</t>
        </is>
      </c>
      <c r="E936" s="6" t="n">
        <v>14120.71</v>
      </c>
      <c r="F936" s="6">
        <f>E936*0.22</f>
        <v/>
      </c>
      <c r="G936" s="6">
        <f>E936+F936</f>
        <v/>
      </c>
      <c r="H936" s="10" t="n">
        <v>2</v>
      </c>
      <c r="I936" s="7">
        <f>H936/(180*0.714)</f>
        <v/>
      </c>
    </row>
    <row r="937">
      <c r="A937" s="4" t="inlineStr">
        <is>
          <t>SERV-10933</t>
        </is>
      </c>
      <c r="B937" s="5" t="inlineStr">
        <is>
          <t>Médico / Enfermeiro da Saúde da Família</t>
        </is>
      </c>
      <c r="C937" s="4" t="inlineStr">
        <is>
          <t>Efetivo Concursado</t>
        </is>
      </c>
      <c r="D937" s="4" t="inlineStr">
        <is>
          <t>SEC-SAU</t>
        </is>
      </c>
      <c r="E937" s="6" t="n">
        <v>11796.71</v>
      </c>
      <c r="F937" s="6">
        <f>E937*0.22</f>
        <v/>
      </c>
      <c r="G937" s="6">
        <f>E937+F937</f>
        <v/>
      </c>
      <c r="H937" s="10" t="n">
        <v>2</v>
      </c>
      <c r="I937" s="7">
        <f>H937/(180*0.714)</f>
        <v/>
      </c>
    </row>
    <row r="938">
      <c r="A938" s="4" t="inlineStr">
        <is>
          <t>SERV-10934</t>
        </is>
      </c>
      <c r="B938" s="5" t="inlineStr">
        <is>
          <t>Médico / Enfermeiro da Saúde da Família</t>
        </is>
      </c>
      <c r="C938" s="4" t="inlineStr">
        <is>
          <t>Efetivo Concursado</t>
        </is>
      </c>
      <c r="D938" s="4" t="inlineStr">
        <is>
          <t>SEC-SAU</t>
        </is>
      </c>
      <c r="E938" s="6" t="n">
        <v>13644.69</v>
      </c>
      <c r="F938" s="6">
        <f>E938*0.22</f>
        <v/>
      </c>
      <c r="G938" s="6">
        <f>E938+F938</f>
        <v/>
      </c>
      <c r="H938" s="10" t="n">
        <v>3</v>
      </c>
      <c r="I938" s="7">
        <f>H938/(180*0.714)</f>
        <v/>
      </c>
    </row>
    <row r="939">
      <c r="A939" s="4" t="inlineStr">
        <is>
          <t>SERV-10935</t>
        </is>
      </c>
      <c r="B939" s="5" t="inlineStr">
        <is>
          <t>Médico / Enfermeiro da Saúde da Família</t>
        </is>
      </c>
      <c r="C939" s="4" t="inlineStr">
        <is>
          <t>Efetivo Concursado</t>
        </is>
      </c>
      <c r="D939" s="4" t="inlineStr">
        <is>
          <t>SEC-SAU</t>
        </is>
      </c>
      <c r="E939" s="6" t="n">
        <v>14089.83</v>
      </c>
      <c r="F939" s="6">
        <f>E939*0.22</f>
        <v/>
      </c>
      <c r="G939" s="6">
        <f>E939+F939</f>
        <v/>
      </c>
      <c r="H939" s="10" t="n">
        <v>4</v>
      </c>
      <c r="I939" s="7">
        <f>H939/(180*0.714)</f>
        <v/>
      </c>
    </row>
    <row r="940">
      <c r="A940" s="4" t="inlineStr">
        <is>
          <t>SERV-10936</t>
        </is>
      </c>
      <c r="B940" s="5" t="inlineStr">
        <is>
          <t>Médico / Enfermeiro da Saúde da Família</t>
        </is>
      </c>
      <c r="C940" s="4" t="inlineStr">
        <is>
          <t>Efetivo Concursado</t>
        </is>
      </c>
      <c r="D940" s="4" t="inlineStr">
        <is>
          <t>SEC-SAU</t>
        </is>
      </c>
      <c r="E940" s="6" t="n">
        <v>11787.13</v>
      </c>
      <c r="F940" s="6">
        <f>E940*0.22</f>
        <v/>
      </c>
      <c r="G940" s="6">
        <f>E940+F940</f>
        <v/>
      </c>
      <c r="H940" s="10" t="n">
        <v>2</v>
      </c>
      <c r="I940" s="7">
        <f>H940/(180*0.714)</f>
        <v/>
      </c>
    </row>
    <row r="941">
      <c r="A941" s="4" t="inlineStr">
        <is>
          <t>SERV-10937</t>
        </is>
      </c>
      <c r="B941" s="5" t="inlineStr">
        <is>
          <t>Médico / Enfermeiro da Saúde da Família</t>
        </is>
      </c>
      <c r="C941" s="4" t="inlineStr">
        <is>
          <t>Efetivo Concursado</t>
        </is>
      </c>
      <c r="D941" s="4" t="inlineStr">
        <is>
          <t>SEC-SAU</t>
        </is>
      </c>
      <c r="E941" s="6" t="n">
        <v>13035.06</v>
      </c>
      <c r="F941" s="6">
        <f>E941*0.22</f>
        <v/>
      </c>
      <c r="G941" s="6">
        <f>E941+F941</f>
        <v/>
      </c>
      <c r="H941" s="10" t="n">
        <v>3</v>
      </c>
      <c r="I941" s="7">
        <f>H941/(180*0.714)</f>
        <v/>
      </c>
    </row>
    <row r="942">
      <c r="A942" s="4" t="inlineStr">
        <is>
          <t>SERV-10938</t>
        </is>
      </c>
      <c r="B942" s="5" t="inlineStr">
        <is>
          <t>Médico / Enfermeiro da Saúde da Família</t>
        </is>
      </c>
      <c r="C942" s="4" t="inlineStr">
        <is>
          <t>Efetivo Concursado</t>
        </is>
      </c>
      <c r="D942" s="4" t="inlineStr">
        <is>
          <t>SEC-SAU</t>
        </is>
      </c>
      <c r="E942" s="6" t="n">
        <v>12409.93</v>
      </c>
      <c r="F942" s="6">
        <f>E942*0.22</f>
        <v/>
      </c>
      <c r="G942" s="6">
        <f>E942+F942</f>
        <v/>
      </c>
      <c r="H942" s="10" t="n">
        <v>3</v>
      </c>
      <c r="I942" s="7">
        <f>H942/(180*0.714)</f>
        <v/>
      </c>
    </row>
    <row r="943">
      <c r="A943" s="4" t="inlineStr">
        <is>
          <t>SERV-10939</t>
        </is>
      </c>
      <c r="B943" s="5" t="inlineStr">
        <is>
          <t>Médico / Enfermeiro da Saúde da Família</t>
        </is>
      </c>
      <c r="C943" s="4" t="inlineStr">
        <is>
          <t>Efetivo Concursado</t>
        </is>
      </c>
      <c r="D943" s="4" t="inlineStr">
        <is>
          <t>SEC-SAU</t>
        </is>
      </c>
      <c r="E943" s="6" t="n">
        <v>12253.42</v>
      </c>
      <c r="F943" s="6">
        <f>E943*0.22</f>
        <v/>
      </c>
      <c r="G943" s="6">
        <f>E943+F943</f>
        <v/>
      </c>
      <c r="H943" s="10" t="n">
        <v>2</v>
      </c>
      <c r="I943" s="7">
        <f>H943/(180*0.714)</f>
        <v/>
      </c>
    </row>
    <row r="944">
      <c r="A944" s="4" t="inlineStr">
        <is>
          <t>SERV-10940</t>
        </is>
      </c>
      <c r="B944" s="5" t="inlineStr">
        <is>
          <t>Médico / Enfermeiro da Saúde da Família</t>
        </is>
      </c>
      <c r="C944" s="4" t="inlineStr">
        <is>
          <t>Efetivo Concursado</t>
        </is>
      </c>
      <c r="D944" s="4" t="inlineStr">
        <is>
          <t>SEC-SAU</t>
        </is>
      </c>
      <c r="E944" s="6" t="n">
        <v>13938.23</v>
      </c>
      <c r="F944" s="6">
        <f>E944*0.22</f>
        <v/>
      </c>
      <c r="G944" s="6">
        <f>E944+F944</f>
        <v/>
      </c>
      <c r="H944" s="10" t="n">
        <v>2</v>
      </c>
      <c r="I944" s="7">
        <f>H944/(180*0.714)</f>
        <v/>
      </c>
    </row>
    <row r="945">
      <c r="A945" s="4" t="inlineStr">
        <is>
          <t>SERV-10941</t>
        </is>
      </c>
      <c r="B945" s="5" t="inlineStr">
        <is>
          <t>Médico / Enfermeiro da Saúde da Família</t>
        </is>
      </c>
      <c r="C945" s="4" t="inlineStr">
        <is>
          <t>Efetivo Concursado</t>
        </is>
      </c>
      <c r="D945" s="4" t="inlineStr">
        <is>
          <t>SEC-SAU</t>
        </is>
      </c>
      <c r="E945" s="6" t="n">
        <v>11930.56</v>
      </c>
      <c r="F945" s="6">
        <f>E945*0.22</f>
        <v/>
      </c>
      <c r="G945" s="6">
        <f>E945+F945</f>
        <v/>
      </c>
      <c r="H945" s="10" t="n">
        <v>2</v>
      </c>
      <c r="I945" s="7">
        <f>H945/(180*0.714)</f>
        <v/>
      </c>
    </row>
    <row r="946">
      <c r="A946" s="4" t="inlineStr">
        <is>
          <t>SERV-10942</t>
        </is>
      </c>
      <c r="B946" s="5" t="inlineStr">
        <is>
          <t>Médico / Enfermeiro da Saúde da Família</t>
        </is>
      </c>
      <c r="C946" s="4" t="inlineStr">
        <is>
          <t>Efetivo Concursado</t>
        </is>
      </c>
      <c r="D946" s="4" t="inlineStr">
        <is>
          <t>SEC-SAU</t>
        </is>
      </c>
      <c r="E946" s="6" t="n">
        <v>12387.08</v>
      </c>
      <c r="F946" s="6">
        <f>E946*0.22</f>
        <v/>
      </c>
      <c r="G946" s="6">
        <f>E946+F946</f>
        <v/>
      </c>
      <c r="H946" s="10" t="n">
        <v>3</v>
      </c>
      <c r="I946" s="7">
        <f>H946/(180*0.714)</f>
        <v/>
      </c>
    </row>
    <row r="947">
      <c r="A947" s="4" t="inlineStr">
        <is>
          <t>SERV-10943</t>
        </is>
      </c>
      <c r="B947" s="5" t="inlineStr">
        <is>
          <t>Médico / Enfermeiro da Saúde da Família</t>
        </is>
      </c>
      <c r="C947" s="4" t="inlineStr">
        <is>
          <t>Efetivo Concursado</t>
        </is>
      </c>
      <c r="D947" s="4" t="inlineStr">
        <is>
          <t>SEC-SAU</t>
        </is>
      </c>
      <c r="E947" s="6" t="n">
        <v>13553.61</v>
      </c>
      <c r="F947" s="6">
        <f>E947*0.22</f>
        <v/>
      </c>
      <c r="G947" s="6">
        <f>E947+F947</f>
        <v/>
      </c>
      <c r="H947" s="10" t="n">
        <v>2</v>
      </c>
      <c r="I947" s="7">
        <f>H947/(180*0.714)</f>
        <v/>
      </c>
    </row>
    <row r="948">
      <c r="A948" s="4" t="inlineStr">
        <is>
          <t>SERV-10944</t>
        </is>
      </c>
      <c r="B948" s="5" t="inlineStr">
        <is>
          <t>Médico / Enfermeiro da Saúde da Família</t>
        </is>
      </c>
      <c r="C948" s="4" t="inlineStr">
        <is>
          <t>Efetivo Concursado</t>
        </is>
      </c>
      <c r="D948" s="4" t="inlineStr">
        <is>
          <t>SEC-SAU</t>
        </is>
      </c>
      <c r="E948" s="6" t="n">
        <v>13917.06</v>
      </c>
      <c r="F948" s="6">
        <f>E948*0.22</f>
        <v/>
      </c>
      <c r="G948" s="6">
        <f>E948+F948</f>
        <v/>
      </c>
      <c r="H948" s="10" t="n">
        <v>5</v>
      </c>
      <c r="I948" s="7">
        <f>H948/(180*0.714)</f>
        <v/>
      </c>
    </row>
    <row r="949">
      <c r="A949" s="4" t="inlineStr">
        <is>
          <t>SERV-10945</t>
        </is>
      </c>
      <c r="B949" s="5" t="inlineStr">
        <is>
          <t>Médico / Enfermeiro da Saúde da Família</t>
        </is>
      </c>
      <c r="C949" s="4" t="inlineStr">
        <is>
          <t>Efetivo Concursado</t>
        </is>
      </c>
      <c r="D949" s="4" t="inlineStr">
        <is>
          <t>SEC-SAU</t>
        </is>
      </c>
      <c r="E949" s="6" t="n">
        <v>12905.88</v>
      </c>
      <c r="F949" s="6">
        <f>E949*0.22</f>
        <v/>
      </c>
      <c r="G949" s="6">
        <f>E949+F949</f>
        <v/>
      </c>
      <c r="H949" s="10" t="n">
        <v>2</v>
      </c>
      <c r="I949" s="7">
        <f>H949/(180*0.714)</f>
        <v/>
      </c>
    </row>
    <row r="950">
      <c r="A950" s="4" t="inlineStr">
        <is>
          <t>SERV-10946</t>
        </is>
      </c>
      <c r="B950" s="5" t="inlineStr">
        <is>
          <t>Médico / Enfermeiro da Saúde da Família</t>
        </is>
      </c>
      <c r="C950" s="4" t="inlineStr">
        <is>
          <t>Efetivo Concursado</t>
        </is>
      </c>
      <c r="D950" s="4" t="inlineStr">
        <is>
          <t>SEC-SAU</t>
        </is>
      </c>
      <c r="E950" s="6" t="n">
        <v>13139.03</v>
      </c>
      <c r="F950" s="6">
        <f>E950*0.22</f>
        <v/>
      </c>
      <c r="G950" s="6">
        <f>E950+F950</f>
        <v/>
      </c>
      <c r="H950" s="10" t="n">
        <v>5</v>
      </c>
      <c r="I950" s="7">
        <f>H950/(180*0.714)</f>
        <v/>
      </c>
    </row>
    <row r="951">
      <c r="A951" s="4" t="inlineStr">
        <is>
          <t>SERV-10947</t>
        </is>
      </c>
      <c r="B951" s="5" t="inlineStr">
        <is>
          <t>Médico / Enfermeiro da Saúde da Família</t>
        </is>
      </c>
      <c r="C951" s="4" t="inlineStr">
        <is>
          <t>Efetivo Concursado</t>
        </is>
      </c>
      <c r="D951" s="4" t="inlineStr">
        <is>
          <t>SEC-SAU</t>
        </is>
      </c>
      <c r="E951" s="6" t="n">
        <v>13045.95</v>
      </c>
      <c r="F951" s="6">
        <f>E951*0.22</f>
        <v/>
      </c>
      <c r="G951" s="6">
        <f>E951+F951</f>
        <v/>
      </c>
      <c r="H951" s="10" t="n">
        <v>3</v>
      </c>
      <c r="I951" s="7">
        <f>H951/(180*0.714)</f>
        <v/>
      </c>
    </row>
    <row r="952">
      <c r="A952" s="4" t="inlineStr">
        <is>
          <t>SERV-10948</t>
        </is>
      </c>
      <c r="B952" s="5" t="inlineStr">
        <is>
          <t>Médico / Enfermeiro da Saúde da Família</t>
        </is>
      </c>
      <c r="C952" s="4" t="inlineStr">
        <is>
          <t>Efetivo Concursado</t>
        </is>
      </c>
      <c r="D952" s="4" t="inlineStr">
        <is>
          <t>SEC-SAU</t>
        </is>
      </c>
      <c r="E952" s="6" t="n">
        <v>13375.02</v>
      </c>
      <c r="F952" s="6">
        <f>E952*0.22</f>
        <v/>
      </c>
      <c r="G952" s="6">
        <f>E952+F952</f>
        <v/>
      </c>
      <c r="H952" s="10" t="n">
        <v>4</v>
      </c>
      <c r="I952" s="7">
        <f>H952/(180*0.714)</f>
        <v/>
      </c>
    </row>
    <row r="953">
      <c r="A953" s="4" t="inlineStr">
        <is>
          <t>SERV-10949</t>
        </is>
      </c>
      <c r="B953" s="5" t="inlineStr">
        <is>
          <t>Médico / Enfermeiro da Saúde da Família</t>
        </is>
      </c>
      <c r="C953" s="4" t="inlineStr">
        <is>
          <t>Efetivo Concursado</t>
        </is>
      </c>
      <c r="D953" s="4" t="inlineStr">
        <is>
          <t>SEC-SAU</t>
        </is>
      </c>
      <c r="E953" s="6" t="n">
        <v>12050.13</v>
      </c>
      <c r="F953" s="6">
        <f>E953*0.22</f>
        <v/>
      </c>
      <c r="G953" s="6">
        <f>E953+F953</f>
        <v/>
      </c>
      <c r="H953" s="10" t="n">
        <v>1</v>
      </c>
      <c r="I953" s="7">
        <f>H953/(180*0.714)</f>
        <v/>
      </c>
    </row>
    <row r="954">
      <c r="A954" s="4" t="inlineStr">
        <is>
          <t>SERV-10950</t>
        </is>
      </c>
      <c r="B954" s="5" t="inlineStr">
        <is>
          <t>Médico / Enfermeiro da Saúde da Família</t>
        </is>
      </c>
      <c r="C954" s="4" t="inlineStr">
        <is>
          <t>Efetivo Concursado</t>
        </is>
      </c>
      <c r="D954" s="4" t="inlineStr">
        <is>
          <t>SEC-SAU</t>
        </is>
      </c>
      <c r="E954" s="6" t="n">
        <v>12894.62</v>
      </c>
      <c r="F954" s="6">
        <f>E954*0.22</f>
        <v/>
      </c>
      <c r="G954" s="6">
        <f>E954+F954</f>
        <v/>
      </c>
      <c r="H954" s="10" t="n">
        <v>5</v>
      </c>
      <c r="I954" s="7">
        <f>H954/(180*0.714)</f>
        <v/>
      </c>
    </row>
    <row r="955">
      <c r="A955" s="4" t="inlineStr">
        <is>
          <t>SERV-10951</t>
        </is>
      </c>
      <c r="B955" s="5" t="inlineStr">
        <is>
          <t>Médico / Enfermeiro da Saúde da Família</t>
        </is>
      </c>
      <c r="C955" s="4" t="inlineStr">
        <is>
          <t>Efetivo Concursado</t>
        </is>
      </c>
      <c r="D955" s="4" t="inlineStr">
        <is>
          <t>SEC-SAU</t>
        </is>
      </c>
      <c r="E955" s="6" t="n">
        <v>13899.31</v>
      </c>
      <c r="F955" s="6">
        <f>E955*0.22</f>
        <v/>
      </c>
      <c r="G955" s="6">
        <f>E955+F955</f>
        <v/>
      </c>
      <c r="H955" s="10" t="n">
        <v>2</v>
      </c>
      <c r="I955" s="7">
        <f>H955/(180*0.714)</f>
        <v/>
      </c>
    </row>
    <row r="956">
      <c r="A956" s="4" t="inlineStr">
        <is>
          <t>SERV-10952</t>
        </is>
      </c>
      <c r="B956" s="5" t="inlineStr">
        <is>
          <t>Médico / Enfermeiro da Saúde da Família</t>
        </is>
      </c>
      <c r="C956" s="4" t="inlineStr">
        <is>
          <t>Efetivo Concursado</t>
        </is>
      </c>
      <c r="D956" s="4" t="inlineStr">
        <is>
          <t>SEC-SAU</t>
        </is>
      </c>
      <c r="E956" s="6" t="n">
        <v>12250.61</v>
      </c>
      <c r="F956" s="6">
        <f>E956*0.22</f>
        <v/>
      </c>
      <c r="G956" s="6">
        <f>E956+F956</f>
        <v/>
      </c>
      <c r="H956" s="10" t="n">
        <v>3</v>
      </c>
      <c r="I956" s="7">
        <f>H956/(180*0.714)</f>
        <v/>
      </c>
    </row>
    <row r="957">
      <c r="A957" s="4" t="inlineStr">
        <is>
          <t>SERV-10953</t>
        </is>
      </c>
      <c r="B957" s="5" t="inlineStr">
        <is>
          <t>Médico / Enfermeiro da Saúde da Família</t>
        </is>
      </c>
      <c r="C957" s="4" t="inlineStr">
        <is>
          <t>Efetivo Concursado</t>
        </is>
      </c>
      <c r="D957" s="4" t="inlineStr">
        <is>
          <t>SEC-SAU</t>
        </is>
      </c>
      <c r="E957" s="6" t="n">
        <v>12495.46</v>
      </c>
      <c r="F957" s="6">
        <f>E957*0.22</f>
        <v/>
      </c>
      <c r="G957" s="6">
        <f>E957+F957</f>
        <v/>
      </c>
      <c r="H957" s="10" t="n">
        <v>1</v>
      </c>
      <c r="I957" s="7">
        <f>H957/(180*0.714)</f>
        <v/>
      </c>
    </row>
    <row r="958">
      <c r="A958" s="4" t="inlineStr">
        <is>
          <t>SERV-10954</t>
        </is>
      </c>
      <c r="B958" s="5" t="inlineStr">
        <is>
          <t>Médico / Enfermeiro da Saúde da Família</t>
        </is>
      </c>
      <c r="C958" s="4" t="inlineStr">
        <is>
          <t>Efetivo Concursado</t>
        </is>
      </c>
      <c r="D958" s="4" t="inlineStr">
        <is>
          <t>SEC-SAU</t>
        </is>
      </c>
      <c r="E958" s="6" t="n">
        <v>12346.3</v>
      </c>
      <c r="F958" s="6">
        <f>E958*0.22</f>
        <v/>
      </c>
      <c r="G958" s="6">
        <f>E958+F958</f>
        <v/>
      </c>
      <c r="H958" s="10" t="n">
        <v>5</v>
      </c>
      <c r="I958" s="7">
        <f>H958/(180*0.714)</f>
        <v/>
      </c>
    </row>
    <row r="959">
      <c r="A959" s="4" t="inlineStr">
        <is>
          <t>SERV-10955</t>
        </is>
      </c>
      <c r="B959" s="5" t="inlineStr">
        <is>
          <t>Médico / Enfermeiro da Saúde da Família</t>
        </is>
      </c>
      <c r="C959" s="4" t="inlineStr">
        <is>
          <t>Efetivo Concursado</t>
        </is>
      </c>
      <c r="D959" s="4" t="inlineStr">
        <is>
          <t>SEC-SAU</t>
        </is>
      </c>
      <c r="E959" s="6" t="n">
        <v>13133.2</v>
      </c>
      <c r="F959" s="6">
        <f>E959*0.22</f>
        <v/>
      </c>
      <c r="G959" s="6">
        <f>E959+F959</f>
        <v/>
      </c>
      <c r="H959" s="10" t="n">
        <v>5</v>
      </c>
      <c r="I959" s="7">
        <f>H959/(180*0.714)</f>
        <v/>
      </c>
    </row>
    <row r="960">
      <c r="A960" s="4" t="inlineStr">
        <is>
          <t>SERV-10956</t>
        </is>
      </c>
      <c r="B960" s="5" t="inlineStr">
        <is>
          <t>Médico / Enfermeiro da Saúde da Família</t>
        </is>
      </c>
      <c r="C960" s="4" t="inlineStr">
        <is>
          <t>Efetivo Concursado</t>
        </is>
      </c>
      <c r="D960" s="4" t="inlineStr">
        <is>
          <t>SEC-SAU</t>
        </is>
      </c>
      <c r="E960" s="6" t="n">
        <v>13568.03</v>
      </c>
      <c r="F960" s="6">
        <f>E960*0.22</f>
        <v/>
      </c>
      <c r="G960" s="6">
        <f>E960+F960</f>
        <v/>
      </c>
      <c r="H960" s="10" t="n">
        <v>1</v>
      </c>
      <c r="I960" s="7">
        <f>H960/(180*0.714)</f>
        <v/>
      </c>
    </row>
    <row r="961">
      <c r="A961" s="4" t="inlineStr">
        <is>
          <t>SERV-10957</t>
        </is>
      </c>
      <c r="B961" s="5" t="inlineStr">
        <is>
          <t>Médico / Enfermeiro da Saúde da Família</t>
        </is>
      </c>
      <c r="C961" s="4" t="inlineStr">
        <is>
          <t>Efetivo Concursado</t>
        </is>
      </c>
      <c r="D961" s="4" t="inlineStr">
        <is>
          <t>SEC-SAU</t>
        </is>
      </c>
      <c r="E961" s="6" t="n">
        <v>11864.27</v>
      </c>
      <c r="F961" s="6">
        <f>E961*0.22</f>
        <v/>
      </c>
      <c r="G961" s="6">
        <f>E961+F961</f>
        <v/>
      </c>
      <c r="H961" s="10" t="n">
        <v>2</v>
      </c>
      <c r="I961" s="7">
        <f>H961/(180*0.714)</f>
        <v/>
      </c>
    </row>
    <row r="962">
      <c r="A962" s="4" t="inlineStr">
        <is>
          <t>SERV-10958</t>
        </is>
      </c>
      <c r="B962" s="5" t="inlineStr">
        <is>
          <t>Médico / Enfermeiro da Saúde da Família</t>
        </is>
      </c>
      <c r="C962" s="4" t="inlineStr">
        <is>
          <t>Efetivo Concursado</t>
        </is>
      </c>
      <c r="D962" s="4" t="inlineStr">
        <is>
          <t>SEC-SAU</t>
        </is>
      </c>
      <c r="E962" s="6" t="n">
        <v>12907.28</v>
      </c>
      <c r="F962" s="6">
        <f>E962*0.22</f>
        <v/>
      </c>
      <c r="G962" s="6">
        <f>E962+F962</f>
        <v/>
      </c>
      <c r="H962" s="10" t="n">
        <v>3</v>
      </c>
      <c r="I962" s="7">
        <f>H962/(180*0.714)</f>
        <v/>
      </c>
    </row>
    <row r="963">
      <c r="A963" s="4" t="inlineStr">
        <is>
          <t>SERV-10959</t>
        </is>
      </c>
      <c r="B963" s="5" t="inlineStr">
        <is>
          <t>Médico / Enfermeiro da Saúde da Família</t>
        </is>
      </c>
      <c r="C963" s="4" t="inlineStr">
        <is>
          <t>Efetivo Concursado</t>
        </is>
      </c>
      <c r="D963" s="4" t="inlineStr">
        <is>
          <t>SEC-SAU</t>
        </is>
      </c>
      <c r="E963" s="6" t="n">
        <v>13793.76</v>
      </c>
      <c r="F963" s="6">
        <f>E963*0.22</f>
        <v/>
      </c>
      <c r="G963" s="6">
        <f>E963+F963</f>
        <v/>
      </c>
      <c r="H963" s="10" t="n">
        <v>4</v>
      </c>
      <c r="I963" s="7">
        <f>H963/(180*0.714)</f>
        <v/>
      </c>
    </row>
    <row r="964">
      <c r="A964" s="4" t="inlineStr">
        <is>
          <t>SERV-10960</t>
        </is>
      </c>
      <c r="B964" s="5" t="inlineStr">
        <is>
          <t>Médico / Enfermeiro da Saúde da Família</t>
        </is>
      </c>
      <c r="C964" s="4" t="inlineStr">
        <is>
          <t>Efetivo Concursado</t>
        </is>
      </c>
      <c r="D964" s="4" t="inlineStr">
        <is>
          <t>SEC-SAU</t>
        </is>
      </c>
      <c r="E964" s="6" t="n">
        <v>11841.79</v>
      </c>
      <c r="F964" s="6">
        <f>E964*0.22</f>
        <v/>
      </c>
      <c r="G964" s="6">
        <f>E964+F964</f>
        <v/>
      </c>
      <c r="H964" s="10" t="n">
        <v>5</v>
      </c>
      <c r="I964" s="7">
        <f>H964/(180*0.714)</f>
        <v/>
      </c>
    </row>
    <row r="965">
      <c r="A965" s="4" t="inlineStr">
        <is>
          <t>SERV-10961</t>
        </is>
      </c>
      <c r="B965" s="5" t="inlineStr">
        <is>
          <t>Médico / Enfermeiro da Saúde da Família</t>
        </is>
      </c>
      <c r="C965" s="4" t="inlineStr">
        <is>
          <t>Efetivo Concursado</t>
        </is>
      </c>
      <c r="D965" s="4" t="inlineStr">
        <is>
          <t>SEC-SAU</t>
        </is>
      </c>
      <c r="E965" s="6" t="n">
        <v>12046.26</v>
      </c>
      <c r="F965" s="6">
        <f>E965*0.22</f>
        <v/>
      </c>
      <c r="G965" s="6">
        <f>E965+F965</f>
        <v/>
      </c>
      <c r="H965" s="10" t="n">
        <v>1</v>
      </c>
      <c r="I965" s="7">
        <f>H965/(180*0.714)</f>
        <v/>
      </c>
    </row>
    <row r="966">
      <c r="A966" s="4" t="inlineStr">
        <is>
          <t>SERV-10962</t>
        </is>
      </c>
      <c r="B966" s="5" t="inlineStr">
        <is>
          <t>Médico / Enfermeiro da Saúde da Família</t>
        </is>
      </c>
      <c r="C966" s="4" t="inlineStr">
        <is>
          <t>Efetivo Concursado</t>
        </is>
      </c>
      <c r="D966" s="4" t="inlineStr">
        <is>
          <t>SEC-SAU</t>
        </is>
      </c>
      <c r="E966" s="6" t="n">
        <v>13899.75</v>
      </c>
      <c r="F966" s="6">
        <f>E966*0.22</f>
        <v/>
      </c>
      <c r="G966" s="6">
        <f>E966+F966</f>
        <v/>
      </c>
      <c r="H966" s="10" t="n">
        <v>4</v>
      </c>
      <c r="I966" s="7">
        <f>H966/(180*0.714)</f>
        <v/>
      </c>
    </row>
    <row r="967">
      <c r="A967" s="4" t="inlineStr">
        <is>
          <t>SERV-10963</t>
        </is>
      </c>
      <c r="B967" s="5" t="inlineStr">
        <is>
          <t>Médico / Enfermeiro da Saúde da Família</t>
        </is>
      </c>
      <c r="C967" s="4" t="inlineStr">
        <is>
          <t>Efetivo Concursado</t>
        </is>
      </c>
      <c r="D967" s="4" t="inlineStr">
        <is>
          <t>SEC-SAU</t>
        </is>
      </c>
      <c r="E967" s="6" t="n">
        <v>12280.97</v>
      </c>
      <c r="F967" s="6">
        <f>E967*0.22</f>
        <v/>
      </c>
      <c r="G967" s="6">
        <f>E967+F967</f>
        <v/>
      </c>
      <c r="H967" s="10" t="n">
        <v>3</v>
      </c>
      <c r="I967" s="7">
        <f>H967/(180*0.714)</f>
        <v/>
      </c>
    </row>
    <row r="968">
      <c r="A968" s="4" t="inlineStr">
        <is>
          <t>SERV-10964</t>
        </is>
      </c>
      <c r="B968" s="5" t="inlineStr">
        <is>
          <t>Médico / Enfermeiro da Saúde da Família</t>
        </is>
      </c>
      <c r="C968" s="4" t="inlineStr">
        <is>
          <t>Efetivo Concursado</t>
        </is>
      </c>
      <c r="D968" s="4" t="inlineStr">
        <is>
          <t>SEC-SAU</t>
        </is>
      </c>
      <c r="E968" s="6" t="n">
        <v>13617.66</v>
      </c>
      <c r="F968" s="6">
        <f>E968*0.22</f>
        <v/>
      </c>
      <c r="G968" s="6">
        <f>E968+F968</f>
        <v/>
      </c>
      <c r="H968" s="10" t="n">
        <v>3</v>
      </c>
      <c r="I968" s="7">
        <f>H968/(180*0.714)</f>
        <v/>
      </c>
    </row>
    <row r="969">
      <c r="A969" s="4" t="inlineStr">
        <is>
          <t>SERV-10965</t>
        </is>
      </c>
      <c r="B969" s="5" t="inlineStr">
        <is>
          <t>Médico / Enfermeiro da Saúde da Família</t>
        </is>
      </c>
      <c r="C969" s="4" t="inlineStr">
        <is>
          <t>Efetivo Concursado</t>
        </is>
      </c>
      <c r="D969" s="4" t="inlineStr">
        <is>
          <t>SEC-SAU</t>
        </is>
      </c>
      <c r="E969" s="6" t="n">
        <v>12866.51</v>
      </c>
      <c r="F969" s="6">
        <f>E969*0.22</f>
        <v/>
      </c>
      <c r="G969" s="6">
        <f>E969+F969</f>
        <v/>
      </c>
      <c r="H969" s="10" t="n">
        <v>4</v>
      </c>
      <c r="I969" s="7">
        <f>H969/(180*0.714)</f>
        <v/>
      </c>
    </row>
    <row r="970">
      <c r="A970" s="4" t="inlineStr">
        <is>
          <t>SERV-10966</t>
        </is>
      </c>
      <c r="B970" s="5" t="inlineStr">
        <is>
          <t>Médico / Enfermeiro da Saúde da Família</t>
        </is>
      </c>
      <c r="C970" s="4" t="inlineStr">
        <is>
          <t>Efetivo Concursado</t>
        </is>
      </c>
      <c r="D970" s="4" t="inlineStr">
        <is>
          <t>SEC-SAU</t>
        </is>
      </c>
      <c r="E970" s="6" t="n">
        <v>13970.05</v>
      </c>
      <c r="F970" s="6">
        <f>E970*0.22</f>
        <v/>
      </c>
      <c r="G970" s="6">
        <f>E970+F970</f>
        <v/>
      </c>
      <c r="H970" s="10" t="n">
        <v>5</v>
      </c>
      <c r="I970" s="7">
        <f>H970/(180*0.714)</f>
        <v/>
      </c>
    </row>
    <row r="971">
      <c r="A971" s="4" t="inlineStr">
        <is>
          <t>SERV-10967</t>
        </is>
      </c>
      <c r="B971" s="5" t="inlineStr">
        <is>
          <t>Médico / Enfermeiro da Saúde da Família</t>
        </is>
      </c>
      <c r="C971" s="4" t="inlineStr">
        <is>
          <t>Efetivo Concursado</t>
        </is>
      </c>
      <c r="D971" s="4" t="inlineStr">
        <is>
          <t>SEC-SAU</t>
        </is>
      </c>
      <c r="E971" s="6" t="n">
        <v>13116.12</v>
      </c>
      <c r="F971" s="6">
        <f>E971*0.22</f>
        <v/>
      </c>
      <c r="G971" s="6">
        <f>E971+F971</f>
        <v/>
      </c>
      <c r="H971" s="10" t="n">
        <v>1</v>
      </c>
      <c r="I971" s="7">
        <f>H971/(180*0.714)</f>
        <v/>
      </c>
    </row>
    <row r="972">
      <c r="A972" s="4" t="inlineStr">
        <is>
          <t>SERV-10968</t>
        </is>
      </c>
      <c r="B972" s="5" t="inlineStr">
        <is>
          <t>Médico / Enfermeiro da Saúde da Família</t>
        </is>
      </c>
      <c r="C972" s="4" t="inlineStr">
        <is>
          <t>Efetivo Concursado</t>
        </is>
      </c>
      <c r="D972" s="4" t="inlineStr">
        <is>
          <t>SEC-SAU</t>
        </is>
      </c>
      <c r="E972" s="6" t="n">
        <v>13882.78</v>
      </c>
      <c r="F972" s="6">
        <f>E972*0.22</f>
        <v/>
      </c>
      <c r="G972" s="6">
        <f>E972+F972</f>
        <v/>
      </c>
      <c r="H972" s="10" t="n">
        <v>5</v>
      </c>
      <c r="I972" s="7">
        <f>H972/(180*0.714)</f>
        <v/>
      </c>
    </row>
    <row r="973">
      <c r="A973" s="4" t="inlineStr">
        <is>
          <t>SERV-10969</t>
        </is>
      </c>
      <c r="B973" s="5" t="inlineStr">
        <is>
          <t>Médico / Enfermeiro da Saúde da Família</t>
        </is>
      </c>
      <c r="C973" s="4" t="inlineStr">
        <is>
          <t>Efetivo Concursado</t>
        </is>
      </c>
      <c r="D973" s="4" t="inlineStr">
        <is>
          <t>SEC-SAU</t>
        </is>
      </c>
      <c r="E973" s="6" t="n">
        <v>12909.4</v>
      </c>
      <c r="F973" s="6">
        <f>E973*0.22</f>
        <v/>
      </c>
      <c r="G973" s="6">
        <f>E973+F973</f>
        <v/>
      </c>
      <c r="H973" s="10" t="n">
        <v>2</v>
      </c>
      <c r="I973" s="7">
        <f>H973/(180*0.714)</f>
        <v/>
      </c>
    </row>
    <row r="974">
      <c r="A974" s="4" t="inlineStr">
        <is>
          <t>SERV-10970</t>
        </is>
      </c>
      <c r="B974" s="5" t="inlineStr">
        <is>
          <t>Médico / Enfermeiro da Saúde da Família</t>
        </is>
      </c>
      <c r="C974" s="4" t="inlineStr">
        <is>
          <t>Efetivo Concursado</t>
        </is>
      </c>
      <c r="D974" s="4" t="inlineStr">
        <is>
          <t>SEC-SAU</t>
        </is>
      </c>
      <c r="E974" s="6" t="n">
        <v>12275.97</v>
      </c>
      <c r="F974" s="6">
        <f>E974*0.22</f>
        <v/>
      </c>
      <c r="G974" s="6">
        <f>E974+F974</f>
        <v/>
      </c>
      <c r="H974" s="10" t="n">
        <v>1</v>
      </c>
      <c r="I974" s="7">
        <f>H974/(180*0.714)</f>
        <v/>
      </c>
    </row>
    <row r="975">
      <c r="A975" s="4" t="inlineStr">
        <is>
          <t>SERV-10971</t>
        </is>
      </c>
      <c r="B975" s="5" t="inlineStr">
        <is>
          <t>Médico / Enfermeiro da Saúde da Família</t>
        </is>
      </c>
      <c r="C975" s="4" t="inlineStr">
        <is>
          <t>Efetivo Concursado</t>
        </is>
      </c>
      <c r="D975" s="4" t="inlineStr">
        <is>
          <t>SEC-SAU</t>
        </is>
      </c>
      <c r="E975" s="6" t="n">
        <v>14322.86</v>
      </c>
      <c r="F975" s="6">
        <f>E975*0.22</f>
        <v/>
      </c>
      <c r="G975" s="6">
        <f>E975+F975</f>
        <v/>
      </c>
      <c r="H975" s="10" t="n">
        <v>4</v>
      </c>
      <c r="I975" s="7">
        <f>H975/(180*0.714)</f>
        <v/>
      </c>
    </row>
    <row r="976">
      <c r="A976" s="4" t="inlineStr">
        <is>
          <t>SERV-10972</t>
        </is>
      </c>
      <c r="B976" s="5" t="inlineStr">
        <is>
          <t>Médico / Enfermeiro da Saúde da Família</t>
        </is>
      </c>
      <c r="C976" s="4" t="inlineStr">
        <is>
          <t>Efetivo Concursado</t>
        </is>
      </c>
      <c r="D976" s="4" t="inlineStr">
        <is>
          <t>SEC-SAU</t>
        </is>
      </c>
      <c r="E976" s="6" t="n">
        <v>13443.02</v>
      </c>
      <c r="F976" s="6">
        <f>E976*0.22</f>
        <v/>
      </c>
      <c r="G976" s="6">
        <f>E976+F976</f>
        <v/>
      </c>
      <c r="H976" s="10" t="n">
        <v>5</v>
      </c>
      <c r="I976" s="7">
        <f>H976/(180*0.714)</f>
        <v/>
      </c>
    </row>
    <row r="977">
      <c r="A977" s="4" t="inlineStr">
        <is>
          <t>SERV-10973</t>
        </is>
      </c>
      <c r="B977" s="5" t="inlineStr">
        <is>
          <t>Médico / Enfermeiro da Saúde da Família</t>
        </is>
      </c>
      <c r="C977" s="4" t="inlineStr">
        <is>
          <t>Efetivo Concursado</t>
        </is>
      </c>
      <c r="D977" s="4" t="inlineStr">
        <is>
          <t>SEC-SAU</t>
        </is>
      </c>
      <c r="E977" s="6" t="n">
        <v>13022.05</v>
      </c>
      <c r="F977" s="6">
        <f>E977*0.22</f>
        <v/>
      </c>
      <c r="G977" s="6">
        <f>E977+F977</f>
        <v/>
      </c>
      <c r="H977" s="10" t="n">
        <v>4</v>
      </c>
      <c r="I977" s="7">
        <f>H977/(180*0.714)</f>
        <v/>
      </c>
    </row>
    <row r="978">
      <c r="A978" s="4" t="inlineStr">
        <is>
          <t>SERV-10974</t>
        </is>
      </c>
      <c r="B978" s="5" t="inlineStr">
        <is>
          <t>Médico / Enfermeiro da Saúde da Família</t>
        </is>
      </c>
      <c r="C978" s="4" t="inlineStr">
        <is>
          <t>Efetivo Concursado</t>
        </is>
      </c>
      <c r="D978" s="4" t="inlineStr">
        <is>
          <t>SEC-SAU</t>
        </is>
      </c>
      <c r="E978" s="6" t="n">
        <v>12394.98</v>
      </c>
      <c r="F978" s="6">
        <f>E978*0.22</f>
        <v/>
      </c>
      <c r="G978" s="6">
        <f>E978+F978</f>
        <v/>
      </c>
      <c r="H978" s="10" t="n">
        <v>1</v>
      </c>
      <c r="I978" s="7">
        <f>H978/(180*0.714)</f>
        <v/>
      </c>
    </row>
    <row r="979">
      <c r="A979" s="4" t="inlineStr">
        <is>
          <t>SERV-10975</t>
        </is>
      </c>
      <c r="B979" s="5" t="inlineStr">
        <is>
          <t>Médico / Enfermeiro da Saúde da Família</t>
        </is>
      </c>
      <c r="C979" s="4" t="inlineStr">
        <is>
          <t>Efetivo Concursado</t>
        </is>
      </c>
      <c r="D979" s="4" t="inlineStr">
        <is>
          <t>SEC-SAU</t>
        </is>
      </c>
      <c r="E979" s="6" t="n">
        <v>11830.45</v>
      </c>
      <c r="F979" s="6">
        <f>E979*0.22</f>
        <v/>
      </c>
      <c r="G979" s="6">
        <f>E979+F979</f>
        <v/>
      </c>
      <c r="H979" s="10" t="n">
        <v>3</v>
      </c>
      <c r="I979" s="7">
        <f>H979/(180*0.714)</f>
        <v/>
      </c>
    </row>
    <row r="980">
      <c r="A980" s="4" t="inlineStr">
        <is>
          <t>SERV-10976</t>
        </is>
      </c>
      <c r="B980" s="5" t="inlineStr">
        <is>
          <t>Médico / Enfermeiro da Saúde da Família</t>
        </is>
      </c>
      <c r="C980" s="4" t="inlineStr">
        <is>
          <t>Efetivo Concursado</t>
        </is>
      </c>
      <c r="D980" s="4" t="inlineStr">
        <is>
          <t>SEC-SAU</t>
        </is>
      </c>
      <c r="E980" s="6" t="n">
        <v>11861.57</v>
      </c>
      <c r="F980" s="6">
        <f>E980*0.22</f>
        <v/>
      </c>
      <c r="G980" s="6">
        <f>E980+F980</f>
        <v/>
      </c>
      <c r="H980" s="10" t="n">
        <v>4</v>
      </c>
      <c r="I980" s="7">
        <f>H980/(180*0.714)</f>
        <v/>
      </c>
    </row>
    <row r="981">
      <c r="A981" s="4" t="inlineStr">
        <is>
          <t>SERV-10977</t>
        </is>
      </c>
      <c r="B981" s="5" t="inlineStr">
        <is>
          <t>Médico / Enfermeiro da Saúde da Família</t>
        </is>
      </c>
      <c r="C981" s="4" t="inlineStr">
        <is>
          <t>Efetivo Concursado</t>
        </is>
      </c>
      <c r="D981" s="4" t="inlineStr">
        <is>
          <t>SEC-SAU</t>
        </is>
      </c>
      <c r="E981" s="6" t="n">
        <v>12272.32</v>
      </c>
      <c r="F981" s="6">
        <f>E981*0.22</f>
        <v/>
      </c>
      <c r="G981" s="6">
        <f>E981+F981</f>
        <v/>
      </c>
      <c r="H981" s="10" t="n">
        <v>1</v>
      </c>
      <c r="I981" s="7">
        <f>H981/(180*0.714)</f>
        <v/>
      </c>
    </row>
    <row r="982">
      <c r="A982" s="4" t="inlineStr">
        <is>
          <t>SERV-10978</t>
        </is>
      </c>
      <c r="B982" s="5" t="inlineStr">
        <is>
          <t>Médico / Enfermeiro da Saúde da Família</t>
        </is>
      </c>
      <c r="C982" s="4" t="inlineStr">
        <is>
          <t>Efetivo Concursado</t>
        </is>
      </c>
      <c r="D982" s="4" t="inlineStr">
        <is>
          <t>SEC-SAU</t>
        </is>
      </c>
      <c r="E982" s="6" t="n">
        <v>12761.25</v>
      </c>
      <c r="F982" s="6">
        <f>E982*0.22</f>
        <v/>
      </c>
      <c r="G982" s="6">
        <f>E982+F982</f>
        <v/>
      </c>
      <c r="H982" s="10" t="n">
        <v>3</v>
      </c>
      <c r="I982" s="7">
        <f>H982/(180*0.714)</f>
        <v/>
      </c>
    </row>
    <row r="983">
      <c r="A983" s="4" t="inlineStr">
        <is>
          <t>SERV-10979</t>
        </is>
      </c>
      <c r="B983" s="5" t="inlineStr">
        <is>
          <t>Médico / Enfermeiro da Saúde da Família</t>
        </is>
      </c>
      <c r="C983" s="4" t="inlineStr">
        <is>
          <t>Efetivo Concursado</t>
        </is>
      </c>
      <c r="D983" s="4" t="inlineStr">
        <is>
          <t>SEC-SAU</t>
        </is>
      </c>
      <c r="E983" s="6" t="n">
        <v>12690.89</v>
      </c>
      <c r="F983" s="6">
        <f>E983*0.22</f>
        <v/>
      </c>
      <c r="G983" s="6">
        <f>E983+F983</f>
        <v/>
      </c>
      <c r="H983" s="10" t="n">
        <v>3</v>
      </c>
      <c r="I983" s="7">
        <f>H983/(180*0.714)</f>
        <v/>
      </c>
    </row>
    <row r="984">
      <c r="A984" s="4" t="inlineStr">
        <is>
          <t>SERV-10980</t>
        </is>
      </c>
      <c r="B984" s="5" t="inlineStr">
        <is>
          <t>Médico / Enfermeiro da Saúde da Família</t>
        </is>
      </c>
      <c r="C984" s="4" t="inlineStr">
        <is>
          <t>Efetivo Concursado</t>
        </is>
      </c>
      <c r="D984" s="4" t="inlineStr">
        <is>
          <t>SEC-SAU</t>
        </is>
      </c>
      <c r="E984" s="6" t="n">
        <v>12547.04</v>
      </c>
      <c r="F984" s="6">
        <f>E984*0.22</f>
        <v/>
      </c>
      <c r="G984" s="6">
        <f>E984+F984</f>
        <v/>
      </c>
      <c r="H984" s="10" t="n">
        <v>4</v>
      </c>
      <c r="I984" s="7">
        <f>H984/(180*0.714)</f>
        <v/>
      </c>
    </row>
    <row r="985">
      <c r="A985" s="4" t="inlineStr">
        <is>
          <t>SERV-10981</t>
        </is>
      </c>
      <c r="B985" s="5" t="inlineStr">
        <is>
          <t>Médico / Enfermeiro da Saúde da Família</t>
        </is>
      </c>
      <c r="C985" s="4" t="inlineStr">
        <is>
          <t>Efetivo Concursado</t>
        </is>
      </c>
      <c r="D985" s="4" t="inlineStr">
        <is>
          <t>SEC-SAU</t>
        </is>
      </c>
      <c r="E985" s="6" t="n">
        <v>11890.76</v>
      </c>
      <c r="F985" s="6">
        <f>E985*0.22</f>
        <v/>
      </c>
      <c r="G985" s="6">
        <f>E985+F985</f>
        <v/>
      </c>
      <c r="H985" s="10" t="n">
        <v>5</v>
      </c>
      <c r="I985" s="7">
        <f>H985/(180*0.714)</f>
        <v/>
      </c>
    </row>
    <row r="986">
      <c r="A986" s="4" t="inlineStr">
        <is>
          <t>SERV-10982</t>
        </is>
      </c>
      <c r="B986" s="5" t="inlineStr">
        <is>
          <t>Médico / Enfermeiro da Saúde da Família</t>
        </is>
      </c>
      <c r="C986" s="4" t="inlineStr">
        <is>
          <t>Efetivo Concursado</t>
        </is>
      </c>
      <c r="D986" s="4" t="inlineStr">
        <is>
          <t>SEC-SAU</t>
        </is>
      </c>
      <c r="E986" s="6" t="n">
        <v>12079.83</v>
      </c>
      <c r="F986" s="6">
        <f>E986*0.22</f>
        <v/>
      </c>
      <c r="G986" s="6">
        <f>E986+F986</f>
        <v/>
      </c>
      <c r="H986" s="10" t="n">
        <v>5</v>
      </c>
      <c r="I986" s="7">
        <f>H986/(180*0.714)</f>
        <v/>
      </c>
    </row>
    <row r="987">
      <c r="A987" s="4" t="inlineStr">
        <is>
          <t>SERV-10983</t>
        </is>
      </c>
      <c r="B987" s="5" t="inlineStr">
        <is>
          <t>Médico / Enfermeiro da Saúde da Família</t>
        </is>
      </c>
      <c r="C987" s="4" t="inlineStr">
        <is>
          <t>Efetivo Concursado</t>
        </is>
      </c>
      <c r="D987" s="4" t="inlineStr">
        <is>
          <t>SEC-SAU</t>
        </is>
      </c>
      <c r="E987" s="6" t="n">
        <v>12698.8</v>
      </c>
      <c r="F987" s="6">
        <f>E987*0.22</f>
        <v/>
      </c>
      <c r="G987" s="6">
        <f>E987+F987</f>
        <v/>
      </c>
      <c r="H987" s="10" t="n">
        <v>2</v>
      </c>
      <c r="I987" s="7">
        <f>H987/(180*0.714)</f>
        <v/>
      </c>
    </row>
    <row r="988">
      <c r="A988" s="4" t="inlineStr">
        <is>
          <t>SERV-10984</t>
        </is>
      </c>
      <c r="B988" s="5" t="inlineStr">
        <is>
          <t>Médico / Enfermeiro da Saúde da Família</t>
        </is>
      </c>
      <c r="C988" s="4" t="inlineStr">
        <is>
          <t>Efetivo Concursado</t>
        </is>
      </c>
      <c r="D988" s="4" t="inlineStr">
        <is>
          <t>SEC-SAU</t>
        </is>
      </c>
      <c r="E988" s="6" t="n">
        <v>13840.28</v>
      </c>
      <c r="F988" s="6">
        <f>E988*0.22</f>
        <v/>
      </c>
      <c r="G988" s="6">
        <f>E988+F988</f>
        <v/>
      </c>
      <c r="H988" s="10" t="n">
        <v>1</v>
      </c>
      <c r="I988" s="7">
        <f>H988/(180*0.714)</f>
        <v/>
      </c>
    </row>
    <row r="989">
      <c r="A989" s="4" t="inlineStr">
        <is>
          <t>SERV-10985</t>
        </is>
      </c>
      <c r="B989" s="5" t="inlineStr">
        <is>
          <t>Médico / Enfermeiro da Saúde da Família</t>
        </is>
      </c>
      <c r="C989" s="4" t="inlineStr">
        <is>
          <t>Efetivo Concursado</t>
        </is>
      </c>
      <c r="D989" s="4" t="inlineStr">
        <is>
          <t>SEC-SAU</t>
        </is>
      </c>
      <c r="E989" s="6" t="n">
        <v>13268</v>
      </c>
      <c r="F989" s="6">
        <f>E989*0.22</f>
        <v/>
      </c>
      <c r="G989" s="6">
        <f>E989+F989</f>
        <v/>
      </c>
      <c r="H989" s="10" t="n">
        <v>4</v>
      </c>
      <c r="I989" s="7">
        <f>H989/(180*0.714)</f>
        <v/>
      </c>
    </row>
    <row r="990">
      <c r="A990" s="4" t="inlineStr">
        <is>
          <t>SERV-10986</t>
        </is>
      </c>
      <c r="B990" s="5" t="inlineStr">
        <is>
          <t>Médico / Enfermeiro da Saúde da Família</t>
        </is>
      </c>
      <c r="C990" s="4" t="inlineStr">
        <is>
          <t>Efetivo Concursado</t>
        </is>
      </c>
      <c r="D990" s="4" t="inlineStr">
        <is>
          <t>SEC-SAU</t>
        </is>
      </c>
      <c r="E990" s="6" t="n">
        <v>13210.69</v>
      </c>
      <c r="F990" s="6">
        <f>E990*0.22</f>
        <v/>
      </c>
      <c r="G990" s="6">
        <f>E990+F990</f>
        <v/>
      </c>
      <c r="H990" s="10" t="n">
        <v>1</v>
      </c>
      <c r="I990" s="7">
        <f>H990/(180*0.714)</f>
        <v/>
      </c>
    </row>
    <row r="991">
      <c r="A991" s="4" t="inlineStr">
        <is>
          <t>SERV-10987</t>
        </is>
      </c>
      <c r="B991" s="5" t="inlineStr">
        <is>
          <t>Médico / Enfermeiro da Saúde da Família</t>
        </is>
      </c>
      <c r="C991" s="4" t="inlineStr">
        <is>
          <t>Efetivo Concursado</t>
        </is>
      </c>
      <c r="D991" s="4" t="inlineStr">
        <is>
          <t>SEC-SAU</t>
        </is>
      </c>
      <c r="E991" s="6" t="n">
        <v>13560.98</v>
      </c>
      <c r="F991" s="6">
        <f>E991*0.22</f>
        <v/>
      </c>
      <c r="G991" s="6">
        <f>E991+F991</f>
        <v/>
      </c>
      <c r="H991" s="10" t="n">
        <v>4</v>
      </c>
      <c r="I991" s="7">
        <f>H991/(180*0.714)</f>
        <v/>
      </c>
    </row>
    <row r="992">
      <c r="A992" s="4" t="inlineStr">
        <is>
          <t>SERV-10988</t>
        </is>
      </c>
      <c r="B992" s="5" t="inlineStr">
        <is>
          <t>Médico / Enfermeiro da Saúde da Família</t>
        </is>
      </c>
      <c r="C992" s="4" t="inlineStr">
        <is>
          <t>Efetivo Concursado</t>
        </is>
      </c>
      <c r="D992" s="4" t="inlineStr">
        <is>
          <t>SEC-SAU</t>
        </is>
      </c>
      <c r="E992" s="6" t="n">
        <v>12357.03</v>
      </c>
      <c r="F992" s="6">
        <f>E992*0.22</f>
        <v/>
      </c>
      <c r="G992" s="6">
        <f>E992+F992</f>
        <v/>
      </c>
      <c r="H992" s="10" t="n">
        <v>2</v>
      </c>
      <c r="I992" s="7">
        <f>H992/(180*0.714)</f>
        <v/>
      </c>
    </row>
    <row r="993">
      <c r="A993" s="4" t="inlineStr">
        <is>
          <t>SERV-10989</t>
        </is>
      </c>
      <c r="B993" s="5" t="inlineStr">
        <is>
          <t>Médico / Enfermeiro da Saúde da Família</t>
        </is>
      </c>
      <c r="C993" s="4" t="inlineStr">
        <is>
          <t>Efetivo Concursado</t>
        </is>
      </c>
      <c r="D993" s="4" t="inlineStr">
        <is>
          <t>SEC-SAU</t>
        </is>
      </c>
      <c r="E993" s="6" t="n">
        <v>12131.67</v>
      </c>
      <c r="F993" s="6">
        <f>E993*0.22</f>
        <v/>
      </c>
      <c r="G993" s="6">
        <f>E993+F993</f>
        <v/>
      </c>
      <c r="H993" s="10" t="n">
        <v>3</v>
      </c>
      <c r="I993" s="7">
        <f>H993/(180*0.714)</f>
        <v/>
      </c>
    </row>
    <row r="994">
      <c r="A994" s="4" t="inlineStr">
        <is>
          <t>SERV-10990</t>
        </is>
      </c>
      <c r="B994" s="5" t="inlineStr">
        <is>
          <t>Médico / Enfermeiro da Saúde da Família</t>
        </is>
      </c>
      <c r="C994" s="4" t="inlineStr">
        <is>
          <t>Efetivo Concursado</t>
        </is>
      </c>
      <c r="D994" s="4" t="inlineStr">
        <is>
          <t>SEC-SAU</t>
        </is>
      </c>
      <c r="E994" s="6" t="n">
        <v>13832.92</v>
      </c>
      <c r="F994" s="6">
        <f>E994*0.22</f>
        <v/>
      </c>
      <c r="G994" s="6">
        <f>E994+F994</f>
        <v/>
      </c>
      <c r="H994" s="10" t="n">
        <v>1</v>
      </c>
      <c r="I994" s="7">
        <f>H994/(180*0.714)</f>
        <v/>
      </c>
    </row>
    <row r="995">
      <c r="A995" s="4" t="inlineStr">
        <is>
          <t>SERV-10991</t>
        </is>
      </c>
      <c r="B995" s="5" t="inlineStr">
        <is>
          <t>Médico / Enfermeiro da Saúde da Família</t>
        </is>
      </c>
      <c r="C995" s="4" t="inlineStr">
        <is>
          <t>Efetivo Concursado</t>
        </is>
      </c>
      <c r="D995" s="4" t="inlineStr">
        <is>
          <t>SEC-SAU</t>
        </is>
      </c>
      <c r="E995" s="6" t="n">
        <v>12856.67</v>
      </c>
      <c r="F995" s="6">
        <f>E995*0.22</f>
        <v/>
      </c>
      <c r="G995" s="6">
        <f>E995+F995</f>
        <v/>
      </c>
      <c r="H995" s="10" t="n">
        <v>3</v>
      </c>
      <c r="I995" s="7">
        <f>H995/(180*0.714)</f>
        <v/>
      </c>
    </row>
    <row r="996">
      <c r="A996" s="4" t="inlineStr">
        <is>
          <t>SERV-10992</t>
        </is>
      </c>
      <c r="B996" s="5" t="inlineStr">
        <is>
          <t>Médico / Enfermeiro da Saúde da Família</t>
        </is>
      </c>
      <c r="C996" s="4" t="inlineStr">
        <is>
          <t>Efetivo Concursado</t>
        </is>
      </c>
      <c r="D996" s="4" t="inlineStr">
        <is>
          <t>SEC-SAU</t>
        </is>
      </c>
      <c r="E996" s="6" t="n">
        <v>14172.82</v>
      </c>
      <c r="F996" s="6">
        <f>E996*0.22</f>
        <v/>
      </c>
      <c r="G996" s="6">
        <f>E996+F996</f>
        <v/>
      </c>
      <c r="H996" s="10" t="n">
        <v>1</v>
      </c>
      <c r="I996" s="7">
        <f>H996/(180*0.714)</f>
        <v/>
      </c>
    </row>
    <row r="997">
      <c r="A997" s="4" t="inlineStr">
        <is>
          <t>SERV-10993</t>
        </is>
      </c>
      <c r="B997" s="5" t="inlineStr">
        <is>
          <t>Médico / Enfermeiro da Saúde da Família</t>
        </is>
      </c>
      <c r="C997" s="4" t="inlineStr">
        <is>
          <t>Efetivo Concursado</t>
        </is>
      </c>
      <c r="D997" s="4" t="inlineStr">
        <is>
          <t>SEC-SAU</t>
        </is>
      </c>
      <c r="E997" s="6" t="n">
        <v>14105.27</v>
      </c>
      <c r="F997" s="6">
        <f>E997*0.22</f>
        <v/>
      </c>
      <c r="G997" s="6">
        <f>E997+F997</f>
        <v/>
      </c>
      <c r="H997" s="10" t="n">
        <v>4</v>
      </c>
      <c r="I997" s="7">
        <f>H997/(180*0.714)</f>
        <v/>
      </c>
    </row>
    <row r="998">
      <c r="A998" s="4" t="inlineStr">
        <is>
          <t>SERV-10994</t>
        </is>
      </c>
      <c r="B998" s="5" t="inlineStr">
        <is>
          <t>Médico / Enfermeiro da Saúde da Família</t>
        </is>
      </c>
      <c r="C998" s="4" t="inlineStr">
        <is>
          <t>Efetivo Concursado</t>
        </is>
      </c>
      <c r="D998" s="4" t="inlineStr">
        <is>
          <t>SEC-SAU</t>
        </is>
      </c>
      <c r="E998" s="6" t="n">
        <v>14129.42</v>
      </c>
      <c r="F998" s="6">
        <f>E998*0.22</f>
        <v/>
      </c>
      <c r="G998" s="6">
        <f>E998+F998</f>
        <v/>
      </c>
      <c r="H998" s="10" t="n">
        <v>1</v>
      </c>
      <c r="I998" s="7">
        <f>H998/(180*0.714)</f>
        <v/>
      </c>
    </row>
    <row r="999">
      <c r="A999" s="4" t="inlineStr">
        <is>
          <t>SERV-10995</t>
        </is>
      </c>
      <c r="B999" s="5" t="inlineStr">
        <is>
          <t>Médico / Enfermeiro da Saúde da Família</t>
        </is>
      </c>
      <c r="C999" s="4" t="inlineStr">
        <is>
          <t>Efetivo Concursado</t>
        </is>
      </c>
      <c r="D999" s="4" t="inlineStr">
        <is>
          <t>SEC-SAU</t>
        </is>
      </c>
      <c r="E999" s="6" t="n">
        <v>14181.94</v>
      </c>
      <c r="F999" s="6">
        <f>E999*0.22</f>
        <v/>
      </c>
      <c r="G999" s="6">
        <f>E999+F999</f>
        <v/>
      </c>
      <c r="H999" s="10" t="n">
        <v>2</v>
      </c>
      <c r="I999" s="7">
        <f>H999/(180*0.714)</f>
        <v/>
      </c>
    </row>
    <row r="1000">
      <c r="A1000" s="4" t="inlineStr">
        <is>
          <t>SERV-10996</t>
        </is>
      </c>
      <c r="B1000" s="5" t="inlineStr">
        <is>
          <t>Médico / Enfermeiro da Saúde da Família</t>
        </is>
      </c>
      <c r="C1000" s="4" t="inlineStr">
        <is>
          <t>Efetivo Concursado</t>
        </is>
      </c>
      <c r="D1000" s="4" t="inlineStr">
        <is>
          <t>SEC-SAU</t>
        </is>
      </c>
      <c r="E1000" s="6" t="n">
        <v>12110.66</v>
      </c>
      <c r="F1000" s="6">
        <f>E1000*0.22</f>
        <v/>
      </c>
      <c r="G1000" s="6">
        <f>E1000+F1000</f>
        <v/>
      </c>
      <c r="H1000" s="10" t="n">
        <v>2</v>
      </c>
      <c r="I1000" s="7">
        <f>H1000/(180*0.714)</f>
        <v/>
      </c>
    </row>
    <row r="1001">
      <c r="A1001" s="4" t="inlineStr">
        <is>
          <t>SERV-10997</t>
        </is>
      </c>
      <c r="B1001" s="5" t="inlineStr">
        <is>
          <t>Médico / Enfermeiro da Saúde da Família</t>
        </is>
      </c>
      <c r="C1001" s="4" t="inlineStr">
        <is>
          <t>Efetivo Concursado</t>
        </is>
      </c>
      <c r="D1001" s="4" t="inlineStr">
        <is>
          <t>SEC-SAU</t>
        </is>
      </c>
      <c r="E1001" s="6" t="n">
        <v>12330.62</v>
      </c>
      <c r="F1001" s="6">
        <f>E1001*0.22</f>
        <v/>
      </c>
      <c r="G1001" s="6">
        <f>E1001+F1001</f>
        <v/>
      </c>
      <c r="H1001" s="10" t="n">
        <v>3</v>
      </c>
      <c r="I1001" s="7">
        <f>H1001/(180*0.714)</f>
        <v/>
      </c>
    </row>
    <row r="1002">
      <c r="A1002" s="4" t="inlineStr">
        <is>
          <t>SERV-10998</t>
        </is>
      </c>
      <c r="B1002" s="5" t="inlineStr">
        <is>
          <t>Médico / Enfermeiro da Saúde da Família</t>
        </is>
      </c>
      <c r="C1002" s="4" t="inlineStr">
        <is>
          <t>Efetivo Concursado</t>
        </is>
      </c>
      <c r="D1002" s="4" t="inlineStr">
        <is>
          <t>SEC-SAU</t>
        </is>
      </c>
      <c r="E1002" s="6" t="n">
        <v>12875.61</v>
      </c>
      <c r="F1002" s="6">
        <f>E1002*0.22</f>
        <v/>
      </c>
      <c r="G1002" s="6">
        <f>E1002+F1002</f>
        <v/>
      </c>
      <c r="H1002" s="10" t="n">
        <v>2</v>
      </c>
      <c r="I1002" s="7">
        <f>H1002/(180*0.714)</f>
        <v/>
      </c>
    </row>
    <row r="1003">
      <c r="A1003" s="4" t="inlineStr">
        <is>
          <t>SERV-10999</t>
        </is>
      </c>
      <c r="B1003" s="5" t="inlineStr">
        <is>
          <t>Médico / Enfermeiro da Saúde da Família</t>
        </is>
      </c>
      <c r="C1003" s="4" t="inlineStr">
        <is>
          <t>Efetivo Concursado</t>
        </is>
      </c>
      <c r="D1003" s="4" t="inlineStr">
        <is>
          <t>SEC-SAU</t>
        </is>
      </c>
      <c r="E1003" s="6" t="n">
        <v>13566.62</v>
      </c>
      <c r="F1003" s="6">
        <f>E1003*0.22</f>
        <v/>
      </c>
      <c r="G1003" s="6">
        <f>E1003+F1003</f>
        <v/>
      </c>
      <c r="H1003" s="10" t="n">
        <v>1</v>
      </c>
      <c r="I1003" s="7">
        <f>H1003/(180*0.714)</f>
        <v/>
      </c>
    </row>
    <row r="1004">
      <c r="A1004" s="4" t="inlineStr">
        <is>
          <t>SERV-11000</t>
        </is>
      </c>
      <c r="B1004" s="5" t="inlineStr">
        <is>
          <t>Médico / Enfermeiro da Saúde da Família</t>
        </is>
      </c>
      <c r="C1004" s="4" t="inlineStr">
        <is>
          <t>Efetivo Concursado</t>
        </is>
      </c>
      <c r="D1004" s="4" t="inlineStr">
        <is>
          <t>SEC-SAU</t>
        </is>
      </c>
      <c r="E1004" s="6" t="n">
        <v>13443.88</v>
      </c>
      <c r="F1004" s="6">
        <f>E1004*0.22</f>
        <v/>
      </c>
      <c r="G1004" s="6">
        <f>E1004+F1004</f>
        <v/>
      </c>
      <c r="H1004" s="10" t="n">
        <v>3</v>
      </c>
      <c r="I1004" s="7">
        <f>H1004/(180*0.714)</f>
        <v/>
      </c>
    </row>
    <row r="1005">
      <c r="A1005" s="4" t="inlineStr">
        <is>
          <t>SERV-11001</t>
        </is>
      </c>
      <c r="B1005" s="5" t="inlineStr">
        <is>
          <t>Médico / Enfermeiro da Saúde da Família</t>
        </is>
      </c>
      <c r="C1005" s="4" t="inlineStr">
        <is>
          <t>Efetivo Concursado</t>
        </is>
      </c>
      <c r="D1005" s="4" t="inlineStr">
        <is>
          <t>SEC-SAU</t>
        </is>
      </c>
      <c r="E1005" s="6" t="n">
        <v>12811.87</v>
      </c>
      <c r="F1005" s="6">
        <f>E1005*0.22</f>
        <v/>
      </c>
      <c r="G1005" s="6">
        <f>E1005+F1005</f>
        <v/>
      </c>
      <c r="H1005" s="10" t="n">
        <v>2</v>
      </c>
      <c r="I1005" s="7">
        <f>H1005/(180*0.714)</f>
        <v/>
      </c>
    </row>
    <row r="1006">
      <c r="A1006" s="4" t="inlineStr">
        <is>
          <t>SERV-11002</t>
        </is>
      </c>
      <c r="B1006" s="5" t="inlineStr">
        <is>
          <t>Médico / Enfermeiro da Saúde da Família</t>
        </is>
      </c>
      <c r="C1006" s="4" t="inlineStr">
        <is>
          <t>Efetivo Concursado</t>
        </is>
      </c>
      <c r="D1006" s="4" t="inlineStr">
        <is>
          <t>SEC-SAU</t>
        </is>
      </c>
      <c r="E1006" s="6" t="n">
        <v>12155.43</v>
      </c>
      <c r="F1006" s="6">
        <f>E1006*0.22</f>
        <v/>
      </c>
      <c r="G1006" s="6">
        <f>E1006+F1006</f>
        <v/>
      </c>
      <c r="H1006" s="10" t="n">
        <v>3</v>
      </c>
      <c r="I1006" s="7">
        <f>H1006/(180*0.714)</f>
        <v/>
      </c>
    </row>
    <row r="1007">
      <c r="A1007" s="4" t="inlineStr">
        <is>
          <t>SERV-11003</t>
        </is>
      </c>
      <c r="B1007" s="5" t="inlineStr">
        <is>
          <t>Médico / Enfermeiro da Saúde da Família</t>
        </is>
      </c>
      <c r="C1007" s="4" t="inlineStr">
        <is>
          <t>Efetivo Concursado</t>
        </is>
      </c>
      <c r="D1007" s="4" t="inlineStr">
        <is>
          <t>SEC-SAU</t>
        </is>
      </c>
      <c r="E1007" s="6" t="n">
        <v>12821</v>
      </c>
      <c r="F1007" s="6">
        <f>E1007*0.22</f>
        <v/>
      </c>
      <c r="G1007" s="6">
        <f>E1007+F1007</f>
        <v/>
      </c>
      <c r="H1007" s="10" t="n">
        <v>2</v>
      </c>
      <c r="I1007" s="7">
        <f>H1007/(180*0.714)</f>
        <v/>
      </c>
    </row>
    <row r="1008">
      <c r="A1008" s="4" t="inlineStr">
        <is>
          <t>SERV-11004</t>
        </is>
      </c>
      <c r="B1008" s="5" t="inlineStr">
        <is>
          <t>Médico / Enfermeiro da Saúde da Família</t>
        </is>
      </c>
      <c r="C1008" s="4" t="inlineStr">
        <is>
          <t>Efetivo Concursado</t>
        </is>
      </c>
      <c r="D1008" s="4" t="inlineStr">
        <is>
          <t>SEC-SAU</t>
        </is>
      </c>
      <c r="E1008" s="6" t="n">
        <v>11890.2</v>
      </c>
      <c r="F1008" s="6">
        <f>E1008*0.22</f>
        <v/>
      </c>
      <c r="G1008" s="6">
        <f>E1008+F1008</f>
        <v/>
      </c>
      <c r="H1008" s="10" t="n">
        <v>5</v>
      </c>
      <c r="I1008" s="7">
        <f>H1008/(180*0.714)</f>
        <v/>
      </c>
    </row>
    <row r="1009">
      <c r="A1009" s="4" t="inlineStr">
        <is>
          <t>SERV-11005</t>
        </is>
      </c>
      <c r="B1009" s="5" t="inlineStr">
        <is>
          <t>Médico / Enfermeiro da Saúde da Família</t>
        </is>
      </c>
      <c r="C1009" s="4" t="inlineStr">
        <is>
          <t>Efetivo Concursado</t>
        </is>
      </c>
      <c r="D1009" s="4" t="inlineStr">
        <is>
          <t>SEC-SAU</t>
        </is>
      </c>
      <c r="E1009" s="6" t="n">
        <v>12754.44</v>
      </c>
      <c r="F1009" s="6">
        <f>E1009*0.22</f>
        <v/>
      </c>
      <c r="G1009" s="6">
        <f>E1009+F1009</f>
        <v/>
      </c>
      <c r="H1009" s="10" t="n">
        <v>1</v>
      </c>
      <c r="I1009" s="7">
        <f>H1009/(180*0.714)</f>
        <v/>
      </c>
    </row>
    <row r="1010">
      <c r="A1010" s="4" t="inlineStr">
        <is>
          <t>SERV-11006</t>
        </is>
      </c>
      <c r="B1010" s="5" t="inlineStr">
        <is>
          <t>Médico / Enfermeiro da Saúde da Família</t>
        </is>
      </c>
      <c r="C1010" s="4" t="inlineStr">
        <is>
          <t>Efetivo Concursado</t>
        </is>
      </c>
      <c r="D1010" s="4" t="inlineStr">
        <is>
          <t>SEC-SAU</t>
        </is>
      </c>
      <c r="E1010" s="6" t="n">
        <v>14185.74</v>
      </c>
      <c r="F1010" s="6">
        <f>E1010*0.22</f>
        <v/>
      </c>
      <c r="G1010" s="6">
        <f>E1010+F1010</f>
        <v/>
      </c>
      <c r="H1010" s="10" t="n">
        <v>2</v>
      </c>
      <c r="I1010" s="7">
        <f>H1010/(180*0.714)</f>
        <v/>
      </c>
    </row>
    <row r="1011">
      <c r="A1011" s="4" t="inlineStr">
        <is>
          <t>SERV-11007</t>
        </is>
      </c>
      <c r="B1011" s="5" t="inlineStr">
        <is>
          <t>Médico / Enfermeiro da Saúde da Família</t>
        </is>
      </c>
      <c r="C1011" s="4" t="inlineStr">
        <is>
          <t>Efetivo Concursado</t>
        </is>
      </c>
      <c r="D1011" s="4" t="inlineStr">
        <is>
          <t>SEC-SAU</t>
        </is>
      </c>
      <c r="E1011" s="6" t="n">
        <v>13676.69</v>
      </c>
      <c r="F1011" s="6">
        <f>E1011*0.22</f>
        <v/>
      </c>
      <c r="G1011" s="6">
        <f>E1011+F1011</f>
        <v/>
      </c>
      <c r="H1011" s="10" t="n">
        <v>2</v>
      </c>
      <c r="I1011" s="7">
        <f>H1011/(180*0.714)</f>
        <v/>
      </c>
    </row>
    <row r="1012">
      <c r="A1012" s="4" t="inlineStr">
        <is>
          <t>SERV-11008</t>
        </is>
      </c>
      <c r="B1012" s="5" t="inlineStr">
        <is>
          <t>Médico / Enfermeiro da Saúde da Família</t>
        </is>
      </c>
      <c r="C1012" s="4" t="inlineStr">
        <is>
          <t>Efetivo Concursado</t>
        </is>
      </c>
      <c r="D1012" s="4" t="inlineStr">
        <is>
          <t>SEC-SAU</t>
        </is>
      </c>
      <c r="E1012" s="6" t="n">
        <v>11953.97</v>
      </c>
      <c r="F1012" s="6">
        <f>E1012*0.22</f>
        <v/>
      </c>
      <c r="G1012" s="6">
        <f>E1012+F1012</f>
        <v/>
      </c>
      <c r="H1012" s="10" t="n">
        <v>4</v>
      </c>
      <c r="I1012" s="7">
        <f>H1012/(180*0.714)</f>
        <v/>
      </c>
    </row>
    <row r="1013">
      <c r="A1013" s="4" t="inlineStr">
        <is>
          <t>SERV-11009</t>
        </is>
      </c>
      <c r="B1013" s="5" t="inlineStr">
        <is>
          <t>Médico / Enfermeiro da Saúde da Família</t>
        </is>
      </c>
      <c r="C1013" s="4" t="inlineStr">
        <is>
          <t>Efetivo Concursado</t>
        </is>
      </c>
      <c r="D1013" s="4" t="inlineStr">
        <is>
          <t>SEC-SAU</t>
        </is>
      </c>
      <c r="E1013" s="6" t="n">
        <v>12610.98</v>
      </c>
      <c r="F1013" s="6">
        <f>E1013*0.22</f>
        <v/>
      </c>
      <c r="G1013" s="6">
        <f>E1013+F1013</f>
        <v/>
      </c>
      <c r="H1013" s="10" t="n">
        <v>5</v>
      </c>
      <c r="I1013" s="7">
        <f>H1013/(180*0.714)</f>
        <v/>
      </c>
    </row>
    <row r="1014">
      <c r="A1014" s="4" t="inlineStr">
        <is>
          <t>SERV-11010</t>
        </is>
      </c>
      <c r="B1014" s="5" t="inlineStr">
        <is>
          <t>Médico / Enfermeiro da Saúde da Família</t>
        </is>
      </c>
      <c r="C1014" s="4" t="inlineStr">
        <is>
          <t>Efetivo Concursado</t>
        </is>
      </c>
      <c r="D1014" s="4" t="inlineStr">
        <is>
          <t>SEC-SAU</t>
        </is>
      </c>
      <c r="E1014" s="6" t="n">
        <v>13859.99</v>
      </c>
      <c r="F1014" s="6">
        <f>E1014*0.22</f>
        <v/>
      </c>
      <c r="G1014" s="6">
        <f>E1014+F1014</f>
        <v/>
      </c>
      <c r="H1014" s="10" t="n">
        <v>4</v>
      </c>
      <c r="I1014" s="7">
        <f>H1014/(180*0.714)</f>
        <v/>
      </c>
    </row>
    <row r="1015">
      <c r="A1015" s="4" t="inlineStr">
        <is>
          <t>SERV-11011</t>
        </is>
      </c>
      <c r="B1015" s="5" t="inlineStr">
        <is>
          <t>Médico / Enfermeiro da Saúde da Família</t>
        </is>
      </c>
      <c r="C1015" s="4" t="inlineStr">
        <is>
          <t>Efetivo Concursado</t>
        </is>
      </c>
      <c r="D1015" s="4" t="inlineStr">
        <is>
          <t>SEC-SAU</t>
        </is>
      </c>
      <c r="E1015" s="6" t="n">
        <v>13397.77</v>
      </c>
      <c r="F1015" s="6">
        <f>E1015*0.22</f>
        <v/>
      </c>
      <c r="G1015" s="6">
        <f>E1015+F1015</f>
        <v/>
      </c>
      <c r="H1015" s="10" t="n">
        <v>4</v>
      </c>
      <c r="I1015" s="7">
        <f>H1015/(180*0.714)</f>
        <v/>
      </c>
    </row>
    <row r="1016">
      <c r="A1016" s="4" t="inlineStr">
        <is>
          <t>SERV-11012</t>
        </is>
      </c>
      <c r="B1016" s="5" t="inlineStr">
        <is>
          <t>Médico / Enfermeiro da Saúde da Família</t>
        </is>
      </c>
      <c r="C1016" s="4" t="inlineStr">
        <is>
          <t>Efetivo Concursado</t>
        </is>
      </c>
      <c r="D1016" s="4" t="inlineStr">
        <is>
          <t>SEC-SAU</t>
        </is>
      </c>
      <c r="E1016" s="6" t="n">
        <v>13265.11</v>
      </c>
      <c r="F1016" s="6">
        <f>E1016*0.22</f>
        <v/>
      </c>
      <c r="G1016" s="6">
        <f>E1016+F1016</f>
        <v/>
      </c>
      <c r="H1016" s="10" t="n">
        <v>4</v>
      </c>
      <c r="I1016" s="7">
        <f>H1016/(180*0.714)</f>
        <v/>
      </c>
    </row>
    <row r="1017">
      <c r="A1017" s="4" t="inlineStr">
        <is>
          <t>SERV-11013</t>
        </is>
      </c>
      <c r="B1017" s="5" t="inlineStr">
        <is>
          <t>Médico / Enfermeiro da Saúde da Família</t>
        </is>
      </c>
      <c r="C1017" s="4" t="inlineStr">
        <is>
          <t>Efetivo Concursado</t>
        </is>
      </c>
      <c r="D1017" s="4" t="inlineStr">
        <is>
          <t>SEC-SAU</t>
        </is>
      </c>
      <c r="E1017" s="6" t="n">
        <v>13709.82</v>
      </c>
      <c r="F1017" s="6">
        <f>E1017*0.22</f>
        <v/>
      </c>
      <c r="G1017" s="6">
        <f>E1017+F1017</f>
        <v/>
      </c>
      <c r="H1017" s="10" t="n">
        <v>5</v>
      </c>
      <c r="I1017" s="7">
        <f>H1017/(180*0.714)</f>
        <v/>
      </c>
    </row>
    <row r="1018">
      <c r="A1018" s="4" t="inlineStr">
        <is>
          <t>SERV-11014</t>
        </is>
      </c>
      <c r="B1018" s="5" t="inlineStr">
        <is>
          <t>Médico / Enfermeiro da Saúde da Família</t>
        </is>
      </c>
      <c r="C1018" s="4" t="inlineStr">
        <is>
          <t>Efetivo Concursado</t>
        </is>
      </c>
      <c r="D1018" s="4" t="inlineStr">
        <is>
          <t>SEC-SAU</t>
        </is>
      </c>
      <c r="E1018" s="6" t="n">
        <v>12952.3</v>
      </c>
      <c r="F1018" s="6">
        <f>E1018*0.22</f>
        <v/>
      </c>
      <c r="G1018" s="6">
        <f>E1018+F1018</f>
        <v/>
      </c>
      <c r="H1018" s="10" t="n">
        <v>1</v>
      </c>
      <c r="I1018" s="7">
        <f>H1018/(180*0.714)</f>
        <v/>
      </c>
    </row>
    <row r="1019">
      <c r="A1019" s="4" t="inlineStr">
        <is>
          <t>SERV-11015</t>
        </is>
      </c>
      <c r="B1019" s="5" t="inlineStr">
        <is>
          <t>Médico / Enfermeiro da Saúde da Família</t>
        </is>
      </c>
      <c r="C1019" s="4" t="inlineStr">
        <is>
          <t>Efetivo Concursado</t>
        </is>
      </c>
      <c r="D1019" s="4" t="inlineStr">
        <is>
          <t>SEC-SAU</t>
        </is>
      </c>
      <c r="E1019" s="6" t="n">
        <v>12043.69</v>
      </c>
      <c r="F1019" s="6">
        <f>E1019*0.22</f>
        <v/>
      </c>
      <c r="G1019" s="6">
        <f>E1019+F1019</f>
        <v/>
      </c>
      <c r="H1019" s="10" t="n">
        <v>1</v>
      </c>
      <c r="I1019" s="7">
        <f>H1019/(180*0.714)</f>
        <v/>
      </c>
    </row>
    <row r="1020">
      <c r="A1020" s="4" t="inlineStr">
        <is>
          <t>SERV-11016</t>
        </is>
      </c>
      <c r="B1020" s="5" t="inlineStr">
        <is>
          <t>Médico / Enfermeiro da Saúde da Família</t>
        </is>
      </c>
      <c r="C1020" s="4" t="inlineStr">
        <is>
          <t>Efetivo Concursado</t>
        </is>
      </c>
      <c r="D1020" s="4" t="inlineStr">
        <is>
          <t>SEC-SAU</t>
        </is>
      </c>
      <c r="E1020" s="6" t="n">
        <v>11963.01</v>
      </c>
      <c r="F1020" s="6">
        <f>E1020*0.22</f>
        <v/>
      </c>
      <c r="G1020" s="6">
        <f>E1020+F1020</f>
        <v/>
      </c>
      <c r="H1020" s="10" t="n">
        <v>3</v>
      </c>
      <c r="I1020" s="7">
        <f>H1020/(180*0.714)</f>
        <v/>
      </c>
    </row>
    <row r="1021">
      <c r="A1021" s="4" t="inlineStr">
        <is>
          <t>SERV-11017</t>
        </is>
      </c>
      <c r="B1021" s="5" t="inlineStr">
        <is>
          <t>Médico / Enfermeiro da Saúde da Família</t>
        </is>
      </c>
      <c r="C1021" s="4" t="inlineStr">
        <is>
          <t>Efetivo Concursado</t>
        </is>
      </c>
      <c r="D1021" s="4" t="inlineStr">
        <is>
          <t>SEC-SAU</t>
        </is>
      </c>
      <c r="E1021" s="6" t="n">
        <v>13368</v>
      </c>
      <c r="F1021" s="6">
        <f>E1021*0.22</f>
        <v/>
      </c>
      <c r="G1021" s="6">
        <f>E1021+F1021</f>
        <v/>
      </c>
      <c r="H1021" s="10" t="n">
        <v>2</v>
      </c>
      <c r="I1021" s="7">
        <f>H1021/(180*0.714)</f>
        <v/>
      </c>
    </row>
    <row r="1022">
      <c r="A1022" s="4" t="inlineStr">
        <is>
          <t>SERV-11018</t>
        </is>
      </c>
      <c r="B1022" s="5" t="inlineStr">
        <is>
          <t>Médico / Enfermeiro da Saúde da Família</t>
        </is>
      </c>
      <c r="C1022" s="4" t="inlineStr">
        <is>
          <t>Efetivo Concursado</t>
        </is>
      </c>
      <c r="D1022" s="4" t="inlineStr">
        <is>
          <t>SEC-SAU</t>
        </is>
      </c>
      <c r="E1022" s="6" t="n">
        <v>14122.71</v>
      </c>
      <c r="F1022" s="6">
        <f>E1022*0.22</f>
        <v/>
      </c>
      <c r="G1022" s="6">
        <f>E1022+F1022</f>
        <v/>
      </c>
      <c r="H1022" s="10" t="n">
        <v>1</v>
      </c>
      <c r="I1022" s="7">
        <f>H1022/(180*0.714)</f>
        <v/>
      </c>
    </row>
    <row r="1023">
      <c r="A1023" s="4" t="inlineStr">
        <is>
          <t>SERV-11019</t>
        </is>
      </c>
      <c r="B1023" s="5" t="inlineStr">
        <is>
          <t>Médico / Enfermeiro da Saúde da Família</t>
        </is>
      </c>
      <c r="C1023" s="4" t="inlineStr">
        <is>
          <t>Efetivo Concursado</t>
        </is>
      </c>
      <c r="D1023" s="4" t="inlineStr">
        <is>
          <t>SEC-SAU</t>
        </is>
      </c>
      <c r="E1023" s="6" t="n">
        <v>13411.93</v>
      </c>
      <c r="F1023" s="6">
        <f>E1023*0.22</f>
        <v/>
      </c>
      <c r="G1023" s="6">
        <f>E1023+F1023</f>
        <v/>
      </c>
      <c r="H1023" s="10" t="n">
        <v>2</v>
      </c>
      <c r="I1023" s="7">
        <f>H1023/(180*0.714)</f>
        <v/>
      </c>
    </row>
    <row r="1024">
      <c r="A1024" s="4" t="inlineStr">
        <is>
          <t>SERV-11020</t>
        </is>
      </c>
      <c r="B1024" s="5" t="inlineStr">
        <is>
          <t>Médico / Enfermeiro da Saúde da Família</t>
        </is>
      </c>
      <c r="C1024" s="4" t="inlineStr">
        <is>
          <t>Efetivo Concursado</t>
        </is>
      </c>
      <c r="D1024" s="4" t="inlineStr">
        <is>
          <t>SEC-SAU</t>
        </is>
      </c>
      <c r="E1024" s="6" t="n">
        <v>11922.39</v>
      </c>
      <c r="F1024" s="6">
        <f>E1024*0.22</f>
        <v/>
      </c>
      <c r="G1024" s="6">
        <f>E1024+F1024</f>
        <v/>
      </c>
      <c r="H1024" s="10" t="n">
        <v>3</v>
      </c>
      <c r="I1024" s="7">
        <f>H1024/(180*0.714)</f>
        <v/>
      </c>
    </row>
    <row r="1025">
      <c r="A1025" s="4" t="inlineStr">
        <is>
          <t>SERV-11021</t>
        </is>
      </c>
      <c r="B1025" s="5" t="inlineStr">
        <is>
          <t>Médico / Enfermeiro da Saúde da Família</t>
        </is>
      </c>
      <c r="C1025" s="4" t="inlineStr">
        <is>
          <t>Efetivo Concursado</t>
        </is>
      </c>
      <c r="D1025" s="4" t="inlineStr">
        <is>
          <t>SEC-SAU</t>
        </is>
      </c>
      <c r="E1025" s="6" t="n">
        <v>14063.55</v>
      </c>
      <c r="F1025" s="6">
        <f>E1025*0.22</f>
        <v/>
      </c>
      <c r="G1025" s="6">
        <f>E1025+F1025</f>
        <v/>
      </c>
      <c r="H1025" s="10" t="n">
        <v>5</v>
      </c>
      <c r="I1025" s="7">
        <f>H1025/(180*0.714)</f>
        <v/>
      </c>
    </row>
    <row r="1026">
      <c r="A1026" s="4" t="inlineStr">
        <is>
          <t>SERV-11022</t>
        </is>
      </c>
      <c r="B1026" s="5" t="inlineStr">
        <is>
          <t>Médico / Enfermeiro da Saúde da Família</t>
        </is>
      </c>
      <c r="C1026" s="4" t="inlineStr">
        <is>
          <t>Efetivo Concursado</t>
        </is>
      </c>
      <c r="D1026" s="4" t="inlineStr">
        <is>
          <t>SEC-SAU</t>
        </is>
      </c>
      <c r="E1026" s="6" t="n">
        <v>13839.07</v>
      </c>
      <c r="F1026" s="6">
        <f>E1026*0.22</f>
        <v/>
      </c>
      <c r="G1026" s="6">
        <f>E1026+F1026</f>
        <v/>
      </c>
      <c r="H1026" s="10" t="n">
        <v>1</v>
      </c>
      <c r="I1026" s="7">
        <f>H1026/(180*0.714)</f>
        <v/>
      </c>
    </row>
    <row r="1027">
      <c r="A1027" s="4" t="inlineStr">
        <is>
          <t>SERV-11023</t>
        </is>
      </c>
      <c r="B1027" s="5" t="inlineStr">
        <is>
          <t>Médico / Enfermeiro da Saúde da Família</t>
        </is>
      </c>
      <c r="C1027" s="4" t="inlineStr">
        <is>
          <t>Efetivo Concursado</t>
        </is>
      </c>
      <c r="D1027" s="4" t="inlineStr">
        <is>
          <t>SEC-SAU</t>
        </is>
      </c>
      <c r="E1027" s="6" t="n">
        <v>13234.91</v>
      </c>
      <c r="F1027" s="6">
        <f>E1027*0.22</f>
        <v/>
      </c>
      <c r="G1027" s="6">
        <f>E1027+F1027</f>
        <v/>
      </c>
      <c r="H1027" s="10" t="n">
        <v>2</v>
      </c>
      <c r="I1027" s="7">
        <f>H1027/(180*0.714)</f>
        <v/>
      </c>
    </row>
    <row r="1028">
      <c r="A1028" s="4" t="inlineStr">
        <is>
          <t>SERV-11024</t>
        </is>
      </c>
      <c r="B1028" s="5" t="inlineStr">
        <is>
          <t>Médico / Enfermeiro da Saúde da Família</t>
        </is>
      </c>
      <c r="C1028" s="4" t="inlineStr">
        <is>
          <t>Efetivo Concursado</t>
        </is>
      </c>
      <c r="D1028" s="4" t="inlineStr">
        <is>
          <t>SEC-SAU</t>
        </is>
      </c>
      <c r="E1028" s="6" t="n">
        <v>12681.19</v>
      </c>
      <c r="F1028" s="6">
        <f>E1028*0.22</f>
        <v/>
      </c>
      <c r="G1028" s="6">
        <f>E1028+F1028</f>
        <v/>
      </c>
      <c r="H1028" s="10" t="n">
        <v>5</v>
      </c>
      <c r="I1028" s="7">
        <f>H1028/(180*0.714)</f>
        <v/>
      </c>
    </row>
    <row r="1029">
      <c r="A1029" s="4" t="inlineStr">
        <is>
          <t>SERV-11025</t>
        </is>
      </c>
      <c r="B1029" s="5" t="inlineStr">
        <is>
          <t>Médico / Enfermeiro da Saúde da Família</t>
        </is>
      </c>
      <c r="C1029" s="4" t="inlineStr">
        <is>
          <t>Efetivo Concursado</t>
        </is>
      </c>
      <c r="D1029" s="4" t="inlineStr">
        <is>
          <t>SEC-SAU</t>
        </is>
      </c>
      <c r="E1029" s="6" t="n">
        <v>12208.48</v>
      </c>
      <c r="F1029" s="6">
        <f>E1029*0.22</f>
        <v/>
      </c>
      <c r="G1029" s="6">
        <f>E1029+F1029</f>
        <v/>
      </c>
      <c r="H1029" s="10" t="n">
        <v>4</v>
      </c>
      <c r="I1029" s="7">
        <f>H1029/(180*0.714)</f>
        <v/>
      </c>
    </row>
    <row r="1030">
      <c r="A1030" s="4" t="inlineStr">
        <is>
          <t>SERV-11026</t>
        </is>
      </c>
      <c r="B1030" s="5" t="inlineStr">
        <is>
          <t>Médico / Enfermeiro da Saúde da Família</t>
        </is>
      </c>
      <c r="C1030" s="4" t="inlineStr">
        <is>
          <t>Efetivo Concursado</t>
        </is>
      </c>
      <c r="D1030" s="4" t="inlineStr">
        <is>
          <t>SEC-SAU</t>
        </is>
      </c>
      <c r="E1030" s="6" t="n">
        <v>13704.09</v>
      </c>
      <c r="F1030" s="6">
        <f>E1030*0.22</f>
        <v/>
      </c>
      <c r="G1030" s="6">
        <f>E1030+F1030</f>
        <v/>
      </c>
      <c r="H1030" s="10" t="n">
        <v>1</v>
      </c>
      <c r="I1030" s="7">
        <f>H1030/(180*0.714)</f>
        <v/>
      </c>
    </row>
    <row r="1031">
      <c r="A1031" s="4" t="inlineStr">
        <is>
          <t>SERV-11027</t>
        </is>
      </c>
      <c r="B1031" s="5" t="inlineStr">
        <is>
          <t>Médico / Enfermeiro da Saúde da Família</t>
        </is>
      </c>
      <c r="C1031" s="4" t="inlineStr">
        <is>
          <t>Efetivo Concursado</t>
        </is>
      </c>
      <c r="D1031" s="4" t="inlineStr">
        <is>
          <t>SEC-SAU</t>
        </is>
      </c>
      <c r="E1031" s="6" t="n">
        <v>13397.56</v>
      </c>
      <c r="F1031" s="6">
        <f>E1031*0.22</f>
        <v/>
      </c>
      <c r="G1031" s="6">
        <f>E1031+F1031</f>
        <v/>
      </c>
      <c r="H1031" s="10" t="n">
        <v>3</v>
      </c>
      <c r="I1031" s="7">
        <f>H1031/(180*0.714)</f>
        <v/>
      </c>
    </row>
    <row r="1032">
      <c r="A1032" s="4" t="inlineStr">
        <is>
          <t>SERV-11028</t>
        </is>
      </c>
      <c r="B1032" s="5" t="inlineStr">
        <is>
          <t>Médico / Enfermeiro da Saúde da Família</t>
        </is>
      </c>
      <c r="C1032" s="4" t="inlineStr">
        <is>
          <t>Efetivo Concursado</t>
        </is>
      </c>
      <c r="D1032" s="4" t="inlineStr">
        <is>
          <t>SEC-SAU</t>
        </is>
      </c>
      <c r="E1032" s="6" t="n">
        <v>11788.37</v>
      </c>
      <c r="F1032" s="6">
        <f>E1032*0.22</f>
        <v/>
      </c>
      <c r="G1032" s="6">
        <f>E1032+F1032</f>
        <v/>
      </c>
      <c r="H1032" s="10" t="n">
        <v>1</v>
      </c>
      <c r="I1032" s="7">
        <f>H1032/(180*0.714)</f>
        <v/>
      </c>
    </row>
    <row r="1033">
      <c r="A1033" s="4" t="inlineStr">
        <is>
          <t>SERV-11029</t>
        </is>
      </c>
      <c r="B1033" s="5" t="inlineStr">
        <is>
          <t>Médico / Enfermeiro da Saúde da Família</t>
        </is>
      </c>
      <c r="C1033" s="4" t="inlineStr">
        <is>
          <t>Efetivo Concursado</t>
        </is>
      </c>
      <c r="D1033" s="4" t="inlineStr">
        <is>
          <t>SEC-SAU</t>
        </is>
      </c>
      <c r="E1033" s="6" t="n">
        <v>13742.18</v>
      </c>
      <c r="F1033" s="6">
        <f>E1033*0.22</f>
        <v/>
      </c>
      <c r="G1033" s="6">
        <f>E1033+F1033</f>
        <v/>
      </c>
      <c r="H1033" s="10" t="n">
        <v>5</v>
      </c>
      <c r="I1033" s="7">
        <f>H1033/(180*0.714)</f>
        <v/>
      </c>
    </row>
    <row r="1034">
      <c r="A1034" s="4" t="inlineStr">
        <is>
          <t>SERV-11030</t>
        </is>
      </c>
      <c r="B1034" s="5" t="inlineStr">
        <is>
          <t>Médico / Enfermeiro da Saúde da Família</t>
        </is>
      </c>
      <c r="C1034" s="4" t="inlineStr">
        <is>
          <t>Efetivo Concursado</t>
        </is>
      </c>
      <c r="D1034" s="4" t="inlineStr">
        <is>
          <t>SEC-SAU</t>
        </is>
      </c>
      <c r="E1034" s="6" t="n">
        <v>13911.28</v>
      </c>
      <c r="F1034" s="6">
        <f>E1034*0.22</f>
        <v/>
      </c>
      <c r="G1034" s="6">
        <f>E1034+F1034</f>
        <v/>
      </c>
      <c r="H1034" s="10" t="n">
        <v>1</v>
      </c>
      <c r="I1034" s="7">
        <f>H1034/(180*0.714)</f>
        <v/>
      </c>
    </row>
    <row r="1035">
      <c r="A1035" s="4" t="inlineStr">
        <is>
          <t>SERV-11031</t>
        </is>
      </c>
      <c r="B1035" s="5" t="inlineStr">
        <is>
          <t>Médico / Enfermeiro da Saúde da Família</t>
        </is>
      </c>
      <c r="C1035" s="4" t="inlineStr">
        <is>
          <t>Efetivo Concursado</t>
        </is>
      </c>
      <c r="D1035" s="4" t="inlineStr">
        <is>
          <t>SEC-SAU</t>
        </is>
      </c>
      <c r="E1035" s="6" t="n">
        <v>12280.24</v>
      </c>
      <c r="F1035" s="6">
        <f>E1035*0.22</f>
        <v/>
      </c>
      <c r="G1035" s="6">
        <f>E1035+F1035</f>
        <v/>
      </c>
      <c r="H1035" s="10" t="n">
        <v>3</v>
      </c>
      <c r="I1035" s="7">
        <f>H1035/(180*0.714)</f>
        <v/>
      </c>
    </row>
    <row r="1036">
      <c r="A1036" s="4" t="inlineStr">
        <is>
          <t>SERV-11032</t>
        </is>
      </c>
      <c r="B1036" s="5" t="inlineStr">
        <is>
          <t>Médico / Enfermeiro da Saúde da Família</t>
        </is>
      </c>
      <c r="C1036" s="4" t="inlineStr">
        <is>
          <t>Efetivo Concursado</t>
        </is>
      </c>
      <c r="D1036" s="4" t="inlineStr">
        <is>
          <t>SEC-SAU</t>
        </is>
      </c>
      <c r="E1036" s="6" t="n">
        <v>13373.79</v>
      </c>
      <c r="F1036" s="6">
        <f>E1036*0.22</f>
        <v/>
      </c>
      <c r="G1036" s="6">
        <f>E1036+F1036</f>
        <v/>
      </c>
      <c r="H1036" s="10" t="n">
        <v>1</v>
      </c>
      <c r="I1036" s="7">
        <f>H1036/(180*0.714)</f>
        <v/>
      </c>
    </row>
    <row r="1037">
      <c r="A1037" s="4" t="inlineStr">
        <is>
          <t>SERV-11033</t>
        </is>
      </c>
      <c r="B1037" s="5" t="inlineStr">
        <is>
          <t>Médico / Enfermeiro da Saúde da Família</t>
        </is>
      </c>
      <c r="C1037" s="4" t="inlineStr">
        <is>
          <t>Efetivo Concursado</t>
        </is>
      </c>
      <c r="D1037" s="4" t="inlineStr">
        <is>
          <t>SEC-SAU</t>
        </is>
      </c>
      <c r="E1037" s="6" t="n">
        <v>13241.98</v>
      </c>
      <c r="F1037" s="6">
        <f>E1037*0.22</f>
        <v/>
      </c>
      <c r="G1037" s="6">
        <f>E1037+F1037</f>
        <v/>
      </c>
      <c r="H1037" s="10" t="n">
        <v>3</v>
      </c>
      <c r="I1037" s="7">
        <f>H1037/(180*0.714)</f>
        <v/>
      </c>
    </row>
    <row r="1038">
      <c r="A1038" s="4" t="inlineStr">
        <is>
          <t>SERV-11034</t>
        </is>
      </c>
      <c r="B1038" s="5" t="inlineStr">
        <is>
          <t>Médico / Enfermeiro da Saúde da Família</t>
        </is>
      </c>
      <c r="C1038" s="4" t="inlineStr">
        <is>
          <t>Efetivo Concursado</t>
        </is>
      </c>
      <c r="D1038" s="4" t="inlineStr">
        <is>
          <t>SEC-SAU</t>
        </is>
      </c>
      <c r="E1038" s="6" t="n">
        <v>12325.94</v>
      </c>
      <c r="F1038" s="6">
        <f>E1038*0.22</f>
        <v/>
      </c>
      <c r="G1038" s="6">
        <f>E1038+F1038</f>
        <v/>
      </c>
      <c r="H1038" s="10" t="n">
        <v>4</v>
      </c>
      <c r="I1038" s="7">
        <f>H1038/(180*0.714)</f>
        <v/>
      </c>
    </row>
    <row r="1039">
      <c r="A1039" s="4" t="inlineStr">
        <is>
          <t>SERV-11035</t>
        </is>
      </c>
      <c r="B1039" s="5" t="inlineStr">
        <is>
          <t>Médico / Enfermeiro da Saúde da Família</t>
        </is>
      </c>
      <c r="C1039" s="4" t="inlineStr">
        <is>
          <t>Efetivo Concursado</t>
        </is>
      </c>
      <c r="D1039" s="4" t="inlineStr">
        <is>
          <t>SEC-SAU</t>
        </is>
      </c>
      <c r="E1039" s="6" t="n">
        <v>12969.18</v>
      </c>
      <c r="F1039" s="6">
        <f>E1039*0.22</f>
        <v/>
      </c>
      <c r="G1039" s="6">
        <f>E1039+F1039</f>
        <v/>
      </c>
      <c r="H1039" s="10" t="n">
        <v>5</v>
      </c>
      <c r="I1039" s="7">
        <f>H1039/(180*0.714)</f>
        <v/>
      </c>
    </row>
    <row r="1040">
      <c r="A1040" s="4" t="inlineStr">
        <is>
          <t>SERV-11036</t>
        </is>
      </c>
      <c r="B1040" s="5" t="inlineStr">
        <is>
          <t>Médico / Enfermeiro da Saúde da Família</t>
        </is>
      </c>
      <c r="C1040" s="4" t="inlineStr">
        <is>
          <t>Efetivo Concursado</t>
        </is>
      </c>
      <c r="D1040" s="4" t="inlineStr">
        <is>
          <t>SEC-SAU</t>
        </is>
      </c>
      <c r="E1040" s="6" t="n">
        <v>13365.28</v>
      </c>
      <c r="F1040" s="6">
        <f>E1040*0.22</f>
        <v/>
      </c>
      <c r="G1040" s="6">
        <f>E1040+F1040</f>
        <v/>
      </c>
      <c r="H1040" s="10" t="n">
        <v>5</v>
      </c>
      <c r="I1040" s="7">
        <f>H1040/(180*0.714)</f>
        <v/>
      </c>
    </row>
    <row r="1041">
      <c r="A1041" s="4" t="inlineStr">
        <is>
          <t>SERV-11037</t>
        </is>
      </c>
      <c r="B1041" s="5" t="inlineStr">
        <is>
          <t>Médico / Enfermeiro da Saúde da Família</t>
        </is>
      </c>
      <c r="C1041" s="4" t="inlineStr">
        <is>
          <t>Efetivo Concursado</t>
        </is>
      </c>
      <c r="D1041" s="4" t="inlineStr">
        <is>
          <t>SEC-SAU</t>
        </is>
      </c>
      <c r="E1041" s="6" t="n">
        <v>13556.08</v>
      </c>
      <c r="F1041" s="6">
        <f>E1041*0.22</f>
        <v/>
      </c>
      <c r="G1041" s="6">
        <f>E1041+F1041</f>
        <v/>
      </c>
      <c r="H1041" s="10" t="n">
        <v>3</v>
      </c>
      <c r="I1041" s="7">
        <f>H1041/(180*0.714)</f>
        <v/>
      </c>
    </row>
    <row r="1042">
      <c r="A1042" s="4" t="inlineStr">
        <is>
          <t>SERV-11038</t>
        </is>
      </c>
      <c r="B1042" s="5" t="inlineStr">
        <is>
          <t>Médico / Enfermeiro da Saúde da Família</t>
        </is>
      </c>
      <c r="C1042" s="4" t="inlineStr">
        <is>
          <t>Efetivo Concursado</t>
        </is>
      </c>
      <c r="D1042" s="4" t="inlineStr">
        <is>
          <t>SEC-SAU</t>
        </is>
      </c>
      <c r="E1042" s="6" t="n">
        <v>12231.21</v>
      </c>
      <c r="F1042" s="6">
        <f>E1042*0.22</f>
        <v/>
      </c>
      <c r="G1042" s="6">
        <f>E1042+F1042</f>
        <v/>
      </c>
      <c r="H1042" s="10" t="n">
        <v>3</v>
      </c>
      <c r="I1042" s="7">
        <f>H1042/(180*0.714)</f>
        <v/>
      </c>
    </row>
    <row r="1043">
      <c r="A1043" s="4" t="inlineStr">
        <is>
          <t>SERV-11039</t>
        </is>
      </c>
      <c r="B1043" s="5" t="inlineStr">
        <is>
          <t>Médico / Enfermeiro da Saúde da Família</t>
        </is>
      </c>
      <c r="C1043" s="4" t="inlineStr">
        <is>
          <t>Efetivo Concursado</t>
        </is>
      </c>
      <c r="D1043" s="4" t="inlineStr">
        <is>
          <t>SEC-SAU</t>
        </is>
      </c>
      <c r="E1043" s="6" t="n">
        <v>12208.84</v>
      </c>
      <c r="F1043" s="6">
        <f>E1043*0.22</f>
        <v/>
      </c>
      <c r="G1043" s="6">
        <f>E1043+F1043</f>
        <v/>
      </c>
      <c r="H1043" s="10" t="n">
        <v>2</v>
      </c>
      <c r="I1043" s="7">
        <f>H1043/(180*0.714)</f>
        <v/>
      </c>
    </row>
    <row r="1044">
      <c r="A1044" s="4" t="inlineStr">
        <is>
          <t>SERV-11040</t>
        </is>
      </c>
      <c r="B1044" s="5" t="inlineStr">
        <is>
          <t>Médico / Enfermeiro da Saúde da Família</t>
        </is>
      </c>
      <c r="C1044" s="4" t="inlineStr">
        <is>
          <t>Efetivo Concursado</t>
        </is>
      </c>
      <c r="D1044" s="4" t="inlineStr">
        <is>
          <t>SEC-SAU</t>
        </is>
      </c>
      <c r="E1044" s="6" t="n">
        <v>12746.4</v>
      </c>
      <c r="F1044" s="6">
        <f>E1044*0.22</f>
        <v/>
      </c>
      <c r="G1044" s="6">
        <f>E1044+F1044</f>
        <v/>
      </c>
      <c r="H1044" s="10" t="n">
        <v>3</v>
      </c>
      <c r="I1044" s="7">
        <f>H1044/(180*0.714)</f>
        <v/>
      </c>
    </row>
    <row r="1045">
      <c r="A1045" s="4" t="inlineStr">
        <is>
          <t>SERV-11041</t>
        </is>
      </c>
      <c r="B1045" s="5" t="inlineStr">
        <is>
          <t>Médico / Enfermeiro da Saúde da Família</t>
        </is>
      </c>
      <c r="C1045" s="4" t="inlineStr">
        <is>
          <t>Efetivo Concursado</t>
        </is>
      </c>
      <c r="D1045" s="4" t="inlineStr">
        <is>
          <t>SEC-SAU</t>
        </is>
      </c>
      <c r="E1045" s="6" t="n">
        <v>11778.66</v>
      </c>
      <c r="F1045" s="6">
        <f>E1045*0.22</f>
        <v/>
      </c>
      <c r="G1045" s="6">
        <f>E1045+F1045</f>
        <v/>
      </c>
      <c r="H1045" s="10" t="n">
        <v>3</v>
      </c>
      <c r="I1045" s="7">
        <f>H1045/(180*0.714)</f>
        <v/>
      </c>
    </row>
    <row r="1046">
      <c r="A1046" s="4" t="inlineStr">
        <is>
          <t>SERV-11042</t>
        </is>
      </c>
      <c r="B1046" s="5" t="inlineStr">
        <is>
          <t>Médico / Enfermeiro da Saúde da Família</t>
        </is>
      </c>
      <c r="C1046" s="4" t="inlineStr">
        <is>
          <t>Efetivo Concursado</t>
        </is>
      </c>
      <c r="D1046" s="4" t="inlineStr">
        <is>
          <t>SEC-SAU</t>
        </is>
      </c>
      <c r="E1046" s="6" t="n">
        <v>11783.77</v>
      </c>
      <c r="F1046" s="6">
        <f>E1046*0.22</f>
        <v/>
      </c>
      <c r="G1046" s="6">
        <f>E1046+F1046</f>
        <v/>
      </c>
      <c r="H1046" s="10" t="n">
        <v>1</v>
      </c>
      <c r="I1046" s="7">
        <f>H1046/(180*0.714)</f>
        <v/>
      </c>
    </row>
    <row r="1047">
      <c r="A1047" s="4" t="inlineStr">
        <is>
          <t>SERV-11043</t>
        </is>
      </c>
      <c r="B1047" s="5" t="inlineStr">
        <is>
          <t>Médico / Enfermeiro da Saúde da Família</t>
        </is>
      </c>
      <c r="C1047" s="4" t="inlineStr">
        <is>
          <t>Efetivo Concursado</t>
        </is>
      </c>
      <c r="D1047" s="4" t="inlineStr">
        <is>
          <t>SEC-SAU</t>
        </is>
      </c>
      <c r="E1047" s="6" t="n">
        <v>12464.65</v>
      </c>
      <c r="F1047" s="6">
        <f>E1047*0.22</f>
        <v/>
      </c>
      <c r="G1047" s="6">
        <f>E1047+F1047</f>
        <v/>
      </c>
      <c r="H1047" s="10" t="n">
        <v>4</v>
      </c>
      <c r="I1047" s="7">
        <f>H1047/(180*0.714)</f>
        <v/>
      </c>
    </row>
    <row r="1048">
      <c r="A1048" s="4" t="inlineStr">
        <is>
          <t>SERV-11044</t>
        </is>
      </c>
      <c r="B1048" s="5" t="inlineStr">
        <is>
          <t>Médico / Enfermeiro da Saúde da Família</t>
        </is>
      </c>
      <c r="C1048" s="4" t="inlineStr">
        <is>
          <t>Efetivo Concursado</t>
        </is>
      </c>
      <c r="D1048" s="4" t="inlineStr">
        <is>
          <t>SEC-SAU</t>
        </is>
      </c>
      <c r="E1048" s="6" t="n">
        <v>12549.05</v>
      </c>
      <c r="F1048" s="6">
        <f>E1048*0.22</f>
        <v/>
      </c>
      <c r="G1048" s="6">
        <f>E1048+F1048</f>
        <v/>
      </c>
      <c r="H1048" s="10" t="n">
        <v>5</v>
      </c>
      <c r="I1048" s="7">
        <f>H1048/(180*0.714)</f>
        <v/>
      </c>
    </row>
    <row r="1049">
      <c r="A1049" s="4" t="inlineStr">
        <is>
          <t>SERV-11045</t>
        </is>
      </c>
      <c r="B1049" s="5" t="inlineStr">
        <is>
          <t>Médico / Enfermeiro da Saúde da Família</t>
        </is>
      </c>
      <c r="C1049" s="4" t="inlineStr">
        <is>
          <t>Efetivo Concursado</t>
        </is>
      </c>
      <c r="D1049" s="4" t="inlineStr">
        <is>
          <t>SEC-SAU</t>
        </is>
      </c>
      <c r="E1049" s="6" t="n">
        <v>12692.8</v>
      </c>
      <c r="F1049" s="6">
        <f>E1049*0.22</f>
        <v/>
      </c>
      <c r="G1049" s="6">
        <f>E1049+F1049</f>
        <v/>
      </c>
      <c r="H1049" s="10" t="n">
        <v>1</v>
      </c>
      <c r="I1049" s="7">
        <f>H1049/(180*0.714)</f>
        <v/>
      </c>
    </row>
    <row r="1050">
      <c r="A1050" s="4" t="inlineStr">
        <is>
          <t>SERV-11046</t>
        </is>
      </c>
      <c r="B1050" s="5" t="inlineStr">
        <is>
          <t>Médico / Enfermeiro da Saúde da Família</t>
        </is>
      </c>
      <c r="C1050" s="4" t="inlineStr">
        <is>
          <t>Efetivo Concursado</t>
        </is>
      </c>
      <c r="D1050" s="4" t="inlineStr">
        <is>
          <t>SEC-SAU</t>
        </is>
      </c>
      <c r="E1050" s="6" t="n">
        <v>12167.02</v>
      </c>
      <c r="F1050" s="6">
        <f>E1050*0.22</f>
        <v/>
      </c>
      <c r="G1050" s="6">
        <f>E1050+F1050</f>
        <v/>
      </c>
      <c r="H1050" s="10" t="n">
        <v>1</v>
      </c>
      <c r="I1050" s="7">
        <f>H1050/(180*0.714)</f>
        <v/>
      </c>
    </row>
    <row r="1051">
      <c r="A1051" s="4" t="inlineStr">
        <is>
          <t>SERV-11047</t>
        </is>
      </c>
      <c r="B1051" s="5" t="inlineStr">
        <is>
          <t>Médico / Enfermeiro da Saúde da Família</t>
        </is>
      </c>
      <c r="C1051" s="4" t="inlineStr">
        <is>
          <t>Efetivo Concursado</t>
        </is>
      </c>
      <c r="D1051" s="4" t="inlineStr">
        <is>
          <t>SEC-SAU</t>
        </is>
      </c>
      <c r="E1051" s="6" t="n">
        <v>13633.38</v>
      </c>
      <c r="F1051" s="6">
        <f>E1051*0.22</f>
        <v/>
      </c>
      <c r="G1051" s="6">
        <f>E1051+F1051</f>
        <v/>
      </c>
      <c r="H1051" s="10" t="n">
        <v>1</v>
      </c>
      <c r="I1051" s="7">
        <f>H1051/(180*0.714)</f>
        <v/>
      </c>
    </row>
    <row r="1052">
      <c r="A1052" s="4" t="inlineStr">
        <is>
          <t>SERV-11048</t>
        </is>
      </c>
      <c r="B1052" s="5" t="inlineStr">
        <is>
          <t>Médico / Enfermeiro da Saúde da Família</t>
        </is>
      </c>
      <c r="C1052" s="4" t="inlineStr">
        <is>
          <t>Efetivo Concursado</t>
        </is>
      </c>
      <c r="D1052" s="4" t="inlineStr">
        <is>
          <t>SEC-SAU</t>
        </is>
      </c>
      <c r="E1052" s="6" t="n">
        <v>13117.83</v>
      </c>
      <c r="F1052" s="6">
        <f>E1052*0.22</f>
        <v/>
      </c>
      <c r="G1052" s="6">
        <f>E1052+F1052</f>
        <v/>
      </c>
      <c r="H1052" s="10" t="n">
        <v>1</v>
      </c>
      <c r="I1052" s="7">
        <f>H1052/(180*0.714)</f>
        <v/>
      </c>
    </row>
    <row r="1053">
      <c r="A1053" s="4" t="inlineStr">
        <is>
          <t>SERV-11049</t>
        </is>
      </c>
      <c r="B1053" s="5" t="inlineStr">
        <is>
          <t>Médico / Enfermeiro da Saúde da Família</t>
        </is>
      </c>
      <c r="C1053" s="4" t="inlineStr">
        <is>
          <t>Efetivo Concursado</t>
        </is>
      </c>
      <c r="D1053" s="4" t="inlineStr">
        <is>
          <t>SEC-SAU</t>
        </is>
      </c>
      <c r="E1053" s="6" t="n">
        <v>12650.67</v>
      </c>
      <c r="F1053" s="6">
        <f>E1053*0.22</f>
        <v/>
      </c>
      <c r="G1053" s="6">
        <f>E1053+F1053</f>
        <v/>
      </c>
      <c r="H1053" s="10" t="n">
        <v>2</v>
      </c>
      <c r="I1053" s="7">
        <f>H1053/(180*0.714)</f>
        <v/>
      </c>
    </row>
    <row r="1054">
      <c r="A1054" s="4" t="inlineStr">
        <is>
          <t>SERV-11050</t>
        </is>
      </c>
      <c r="B1054" s="5" t="inlineStr">
        <is>
          <t>Médico / Enfermeiro da Saúde da Família</t>
        </is>
      </c>
      <c r="C1054" s="4" t="inlineStr">
        <is>
          <t>Efetivo Concursado</t>
        </is>
      </c>
      <c r="D1054" s="4" t="inlineStr">
        <is>
          <t>SEC-SAU</t>
        </is>
      </c>
      <c r="E1054" s="6" t="n">
        <v>11815</v>
      </c>
      <c r="F1054" s="6">
        <f>E1054*0.22</f>
        <v/>
      </c>
      <c r="G1054" s="6">
        <f>E1054+F1054</f>
        <v/>
      </c>
      <c r="H1054" s="10" t="n">
        <v>5</v>
      </c>
      <c r="I1054" s="7">
        <f>H1054/(180*0.714)</f>
        <v/>
      </c>
    </row>
    <row r="1055">
      <c r="A1055" s="4" t="inlineStr">
        <is>
          <t>SERV-11051</t>
        </is>
      </c>
      <c r="B1055" s="5" t="inlineStr">
        <is>
          <t>Médico / Enfermeiro da Saúde da Família</t>
        </is>
      </c>
      <c r="C1055" s="4" t="inlineStr">
        <is>
          <t>Efetivo Concursado</t>
        </is>
      </c>
      <c r="D1055" s="4" t="inlineStr">
        <is>
          <t>SEC-SAU</t>
        </is>
      </c>
      <c r="E1055" s="6" t="n">
        <v>13192.17</v>
      </c>
      <c r="F1055" s="6">
        <f>E1055*0.22</f>
        <v/>
      </c>
      <c r="G1055" s="6">
        <f>E1055+F1055</f>
        <v/>
      </c>
      <c r="H1055" s="10" t="n">
        <v>1</v>
      </c>
      <c r="I1055" s="7">
        <f>H1055/(180*0.714)</f>
        <v/>
      </c>
    </row>
    <row r="1056">
      <c r="A1056" s="4" t="inlineStr">
        <is>
          <t>SERV-11052</t>
        </is>
      </c>
      <c r="B1056" s="5" t="inlineStr">
        <is>
          <t>Médico / Enfermeiro da Saúde da Família</t>
        </is>
      </c>
      <c r="C1056" s="4" t="inlineStr">
        <is>
          <t>Efetivo Concursado</t>
        </is>
      </c>
      <c r="D1056" s="4" t="inlineStr">
        <is>
          <t>SEC-SAU</t>
        </is>
      </c>
      <c r="E1056" s="6" t="n">
        <v>14067.62</v>
      </c>
      <c r="F1056" s="6">
        <f>E1056*0.22</f>
        <v/>
      </c>
      <c r="G1056" s="6">
        <f>E1056+F1056</f>
        <v/>
      </c>
      <c r="H1056" s="10" t="n">
        <v>4</v>
      </c>
      <c r="I1056" s="7">
        <f>H1056/(180*0.714)</f>
        <v/>
      </c>
    </row>
    <row r="1057">
      <c r="A1057" s="4" t="inlineStr">
        <is>
          <t>SERV-11053</t>
        </is>
      </c>
      <c r="B1057" s="5" t="inlineStr">
        <is>
          <t>Médico / Enfermeiro da Saúde da Família</t>
        </is>
      </c>
      <c r="C1057" s="4" t="inlineStr">
        <is>
          <t>Efetivo Concursado</t>
        </is>
      </c>
      <c r="D1057" s="4" t="inlineStr">
        <is>
          <t>SEC-SAU</t>
        </is>
      </c>
      <c r="E1057" s="6" t="n">
        <v>12773.11</v>
      </c>
      <c r="F1057" s="6">
        <f>E1057*0.22</f>
        <v/>
      </c>
      <c r="G1057" s="6">
        <f>E1057+F1057</f>
        <v/>
      </c>
      <c r="H1057" s="10" t="n">
        <v>2</v>
      </c>
      <c r="I1057" s="7">
        <f>H1057/(180*0.714)</f>
        <v/>
      </c>
    </row>
    <row r="1058">
      <c r="A1058" s="4" t="inlineStr">
        <is>
          <t>SERV-11054</t>
        </is>
      </c>
      <c r="B1058" s="5" t="inlineStr">
        <is>
          <t>Médico / Enfermeiro da Saúde da Família</t>
        </is>
      </c>
      <c r="C1058" s="4" t="inlineStr">
        <is>
          <t>Efetivo Concursado</t>
        </is>
      </c>
      <c r="D1058" s="4" t="inlineStr">
        <is>
          <t>SEC-SAU</t>
        </is>
      </c>
      <c r="E1058" s="6" t="n">
        <v>14224.49</v>
      </c>
      <c r="F1058" s="6">
        <f>E1058*0.22</f>
        <v/>
      </c>
      <c r="G1058" s="6">
        <f>E1058+F1058</f>
        <v/>
      </c>
      <c r="H1058" s="10" t="n">
        <v>3</v>
      </c>
      <c r="I1058" s="7">
        <f>H1058/(180*0.714)</f>
        <v/>
      </c>
    </row>
    <row r="1059">
      <c r="A1059" s="4" t="inlineStr">
        <is>
          <t>SERV-11055</t>
        </is>
      </c>
      <c r="B1059" s="5" t="inlineStr">
        <is>
          <t>Médico / Enfermeiro da Saúde da Família</t>
        </is>
      </c>
      <c r="C1059" s="4" t="inlineStr">
        <is>
          <t>Efetivo Concursado</t>
        </is>
      </c>
      <c r="D1059" s="4" t="inlineStr">
        <is>
          <t>SEC-SAU</t>
        </is>
      </c>
      <c r="E1059" s="6" t="n">
        <v>12274.41</v>
      </c>
      <c r="F1059" s="6">
        <f>E1059*0.22</f>
        <v/>
      </c>
      <c r="G1059" s="6">
        <f>E1059+F1059</f>
        <v/>
      </c>
      <c r="H1059" s="10" t="n">
        <v>3</v>
      </c>
      <c r="I1059" s="7">
        <f>H1059/(180*0.714)</f>
        <v/>
      </c>
    </row>
    <row r="1060">
      <c r="A1060" s="4" t="inlineStr">
        <is>
          <t>SERV-11056</t>
        </is>
      </c>
      <c r="B1060" s="5" t="inlineStr">
        <is>
          <t>Médico / Enfermeiro da Saúde da Família</t>
        </is>
      </c>
      <c r="C1060" s="4" t="inlineStr">
        <is>
          <t>Efetivo Concursado</t>
        </is>
      </c>
      <c r="D1060" s="4" t="inlineStr">
        <is>
          <t>SEC-SAU</t>
        </is>
      </c>
      <c r="E1060" s="6" t="n">
        <v>13236.78</v>
      </c>
      <c r="F1060" s="6">
        <f>E1060*0.22</f>
        <v/>
      </c>
      <c r="G1060" s="6">
        <f>E1060+F1060</f>
        <v/>
      </c>
      <c r="H1060" s="10" t="n">
        <v>3</v>
      </c>
      <c r="I1060" s="7">
        <f>H1060/(180*0.714)</f>
        <v/>
      </c>
    </row>
    <row r="1061">
      <c r="A1061" s="4" t="inlineStr">
        <is>
          <t>SERV-11057</t>
        </is>
      </c>
      <c r="B1061" s="5" t="inlineStr">
        <is>
          <t>Médico / Enfermeiro da Saúde da Família</t>
        </is>
      </c>
      <c r="C1061" s="4" t="inlineStr">
        <is>
          <t>Efetivo Concursado</t>
        </is>
      </c>
      <c r="D1061" s="4" t="inlineStr">
        <is>
          <t>SEC-SAU</t>
        </is>
      </c>
      <c r="E1061" s="6" t="n">
        <v>13874.47</v>
      </c>
      <c r="F1061" s="6">
        <f>E1061*0.22</f>
        <v/>
      </c>
      <c r="G1061" s="6">
        <f>E1061+F1061</f>
        <v/>
      </c>
      <c r="H1061" s="10" t="n">
        <v>2</v>
      </c>
      <c r="I1061" s="7">
        <f>H1061/(180*0.714)</f>
        <v/>
      </c>
    </row>
    <row r="1062">
      <c r="A1062" s="4" t="inlineStr">
        <is>
          <t>SERV-11058</t>
        </is>
      </c>
      <c r="B1062" s="5" t="inlineStr">
        <is>
          <t>Médico / Enfermeiro da Saúde da Família</t>
        </is>
      </c>
      <c r="C1062" s="4" t="inlineStr">
        <is>
          <t>Efetivo Concursado</t>
        </is>
      </c>
      <c r="D1062" s="4" t="inlineStr">
        <is>
          <t>SEC-SAU</t>
        </is>
      </c>
      <c r="E1062" s="6" t="n">
        <v>13386.64</v>
      </c>
      <c r="F1062" s="6">
        <f>E1062*0.22</f>
        <v/>
      </c>
      <c r="G1062" s="6">
        <f>E1062+F1062</f>
        <v/>
      </c>
      <c r="H1062" s="10" t="n">
        <v>4</v>
      </c>
      <c r="I1062" s="7">
        <f>H1062/(180*0.714)</f>
        <v/>
      </c>
    </row>
    <row r="1063">
      <c r="A1063" s="4" t="inlineStr">
        <is>
          <t>SERV-11059</t>
        </is>
      </c>
      <c r="B1063" s="5" t="inlineStr">
        <is>
          <t>Médico / Enfermeiro da Saúde da Família</t>
        </is>
      </c>
      <c r="C1063" s="4" t="inlineStr">
        <is>
          <t>Efetivo Concursado</t>
        </is>
      </c>
      <c r="D1063" s="4" t="inlineStr">
        <is>
          <t>SEC-SAU</t>
        </is>
      </c>
      <c r="E1063" s="6" t="n">
        <v>12632.33</v>
      </c>
      <c r="F1063" s="6">
        <f>E1063*0.22</f>
        <v/>
      </c>
      <c r="G1063" s="6">
        <f>E1063+F1063</f>
        <v/>
      </c>
      <c r="H1063" s="10" t="n">
        <v>3</v>
      </c>
      <c r="I1063" s="7">
        <f>H1063/(180*0.714)</f>
        <v/>
      </c>
    </row>
    <row r="1064">
      <c r="A1064" s="4" t="inlineStr">
        <is>
          <t>SERV-11060</t>
        </is>
      </c>
      <c r="B1064" s="5" t="inlineStr">
        <is>
          <t>Médico / Enfermeiro da Saúde da Família</t>
        </is>
      </c>
      <c r="C1064" s="4" t="inlineStr">
        <is>
          <t>Efetivo Concursado</t>
        </is>
      </c>
      <c r="D1064" s="4" t="inlineStr">
        <is>
          <t>SEC-SAU</t>
        </is>
      </c>
      <c r="E1064" s="6" t="n">
        <v>13592.42</v>
      </c>
      <c r="F1064" s="6">
        <f>E1064*0.22</f>
        <v/>
      </c>
      <c r="G1064" s="6">
        <f>E1064+F1064</f>
        <v/>
      </c>
      <c r="H1064" s="10" t="n">
        <v>3</v>
      </c>
      <c r="I1064" s="7">
        <f>H1064/(180*0.714)</f>
        <v/>
      </c>
    </row>
    <row r="1065">
      <c r="A1065" s="4" t="inlineStr">
        <is>
          <t>SERV-11061</t>
        </is>
      </c>
      <c r="B1065" s="5" t="inlineStr">
        <is>
          <t>Médico / Enfermeiro da Saúde da Família</t>
        </is>
      </c>
      <c r="C1065" s="4" t="inlineStr">
        <is>
          <t>Efetivo Concursado</t>
        </is>
      </c>
      <c r="D1065" s="4" t="inlineStr">
        <is>
          <t>SEC-SAU</t>
        </is>
      </c>
      <c r="E1065" s="6" t="n">
        <v>12728.73</v>
      </c>
      <c r="F1065" s="6">
        <f>E1065*0.22</f>
        <v/>
      </c>
      <c r="G1065" s="6">
        <f>E1065+F1065</f>
        <v/>
      </c>
      <c r="H1065" s="10" t="n">
        <v>3</v>
      </c>
      <c r="I1065" s="7">
        <f>H1065/(180*0.714)</f>
        <v/>
      </c>
    </row>
    <row r="1066">
      <c r="A1066" s="4" t="inlineStr">
        <is>
          <t>SERV-11062</t>
        </is>
      </c>
      <c r="B1066" s="5" t="inlineStr">
        <is>
          <t>Médico / Enfermeiro da Saúde da Família</t>
        </is>
      </c>
      <c r="C1066" s="4" t="inlineStr">
        <is>
          <t>Efetivo Concursado</t>
        </is>
      </c>
      <c r="D1066" s="4" t="inlineStr">
        <is>
          <t>SEC-SAU</t>
        </is>
      </c>
      <c r="E1066" s="6" t="n">
        <v>12285.74</v>
      </c>
      <c r="F1066" s="6">
        <f>E1066*0.22</f>
        <v/>
      </c>
      <c r="G1066" s="6">
        <f>E1066+F1066</f>
        <v/>
      </c>
      <c r="H1066" s="10" t="n">
        <v>3</v>
      </c>
      <c r="I1066" s="7">
        <f>H1066/(180*0.714)</f>
        <v/>
      </c>
    </row>
    <row r="1067">
      <c r="A1067" s="4" t="inlineStr">
        <is>
          <t>SERV-11063</t>
        </is>
      </c>
      <c r="B1067" s="5" t="inlineStr">
        <is>
          <t>Médico / Enfermeiro da Saúde da Família</t>
        </is>
      </c>
      <c r="C1067" s="4" t="inlineStr">
        <is>
          <t>Efetivo Concursado</t>
        </is>
      </c>
      <c r="D1067" s="4" t="inlineStr">
        <is>
          <t>SEC-SAU</t>
        </is>
      </c>
      <c r="E1067" s="6" t="n">
        <v>13446.05</v>
      </c>
      <c r="F1067" s="6">
        <f>E1067*0.22</f>
        <v/>
      </c>
      <c r="G1067" s="6">
        <f>E1067+F1067</f>
        <v/>
      </c>
      <c r="H1067" s="10" t="n">
        <v>1</v>
      </c>
      <c r="I1067" s="7">
        <f>H1067/(180*0.714)</f>
        <v/>
      </c>
    </row>
    <row r="1068">
      <c r="A1068" s="4" t="inlineStr">
        <is>
          <t>SERV-11064</t>
        </is>
      </c>
      <c r="B1068" s="5" t="inlineStr">
        <is>
          <t>Médico / Enfermeiro da Saúde da Família</t>
        </is>
      </c>
      <c r="C1068" s="4" t="inlineStr">
        <is>
          <t>Efetivo Concursado</t>
        </is>
      </c>
      <c r="D1068" s="4" t="inlineStr">
        <is>
          <t>SEC-SAU</t>
        </is>
      </c>
      <c r="E1068" s="6" t="n">
        <v>14211.61</v>
      </c>
      <c r="F1068" s="6">
        <f>E1068*0.22</f>
        <v/>
      </c>
      <c r="G1068" s="6">
        <f>E1068+F1068</f>
        <v/>
      </c>
      <c r="H1068" s="10" t="n">
        <v>5</v>
      </c>
      <c r="I1068" s="7">
        <f>H1068/(180*0.714)</f>
        <v/>
      </c>
    </row>
    <row r="1069">
      <c r="A1069" s="4" t="inlineStr">
        <is>
          <t>SERV-11065</t>
        </is>
      </c>
      <c r="B1069" s="5" t="inlineStr">
        <is>
          <t>Médico / Enfermeiro da Saúde da Família</t>
        </is>
      </c>
      <c r="C1069" s="4" t="inlineStr">
        <is>
          <t>Efetivo Concursado</t>
        </is>
      </c>
      <c r="D1069" s="4" t="inlineStr">
        <is>
          <t>SEC-SAU</t>
        </is>
      </c>
      <c r="E1069" s="6" t="n">
        <v>12089.48</v>
      </c>
      <c r="F1069" s="6">
        <f>E1069*0.22</f>
        <v/>
      </c>
      <c r="G1069" s="6">
        <f>E1069+F1069</f>
        <v/>
      </c>
      <c r="H1069" s="10" t="n">
        <v>3</v>
      </c>
      <c r="I1069" s="7">
        <f>H1069/(180*0.714)</f>
        <v/>
      </c>
    </row>
    <row r="1070">
      <c r="A1070" s="4" t="inlineStr">
        <is>
          <t>SERV-11066</t>
        </is>
      </c>
      <c r="B1070" s="5" t="inlineStr">
        <is>
          <t>Médico / Enfermeiro da Saúde da Família</t>
        </is>
      </c>
      <c r="C1070" s="4" t="inlineStr">
        <is>
          <t>Efetivo Concursado</t>
        </is>
      </c>
      <c r="D1070" s="4" t="inlineStr">
        <is>
          <t>SEC-SAU</t>
        </is>
      </c>
      <c r="E1070" s="6" t="n">
        <v>12741.71</v>
      </c>
      <c r="F1070" s="6">
        <f>E1070*0.22</f>
        <v/>
      </c>
      <c r="G1070" s="6">
        <f>E1070+F1070</f>
        <v/>
      </c>
      <c r="H1070" s="10" t="n">
        <v>1</v>
      </c>
      <c r="I1070" s="7">
        <f>H1070/(180*0.714)</f>
        <v/>
      </c>
    </row>
    <row r="1071">
      <c r="A1071" s="4" t="inlineStr">
        <is>
          <t>SERV-11067</t>
        </is>
      </c>
      <c r="B1071" s="5" t="inlineStr">
        <is>
          <t>Médico / Enfermeiro da Saúde da Família</t>
        </is>
      </c>
      <c r="C1071" s="4" t="inlineStr">
        <is>
          <t>Efetivo Concursado</t>
        </is>
      </c>
      <c r="D1071" s="4" t="inlineStr">
        <is>
          <t>SEC-SAU</t>
        </is>
      </c>
      <c r="E1071" s="6" t="n">
        <v>13093.62</v>
      </c>
      <c r="F1071" s="6">
        <f>E1071*0.22</f>
        <v/>
      </c>
      <c r="G1071" s="6">
        <f>E1071+F1071</f>
        <v/>
      </c>
      <c r="H1071" s="10" t="n">
        <v>2</v>
      </c>
      <c r="I1071" s="7">
        <f>H1071/(180*0.714)</f>
        <v/>
      </c>
    </row>
    <row r="1072">
      <c r="A1072" s="4" t="inlineStr">
        <is>
          <t>SERV-11068</t>
        </is>
      </c>
      <c r="B1072" s="5" t="inlineStr">
        <is>
          <t>Médico / Enfermeiro da Saúde da Família</t>
        </is>
      </c>
      <c r="C1072" s="4" t="inlineStr">
        <is>
          <t>Efetivo Concursado</t>
        </is>
      </c>
      <c r="D1072" s="4" t="inlineStr">
        <is>
          <t>SEC-SAU</t>
        </is>
      </c>
      <c r="E1072" s="6" t="n">
        <v>13228.9</v>
      </c>
      <c r="F1072" s="6">
        <f>E1072*0.22</f>
        <v/>
      </c>
      <c r="G1072" s="6">
        <f>E1072+F1072</f>
        <v/>
      </c>
      <c r="H1072" s="10" t="n">
        <v>2</v>
      </c>
      <c r="I1072" s="7">
        <f>H1072/(180*0.714)</f>
        <v/>
      </c>
    </row>
    <row r="1073">
      <c r="A1073" s="4" t="inlineStr">
        <is>
          <t>SERV-11069</t>
        </is>
      </c>
      <c r="B1073" s="5" t="inlineStr">
        <is>
          <t>Médico / Enfermeiro da Saúde da Família</t>
        </is>
      </c>
      <c r="C1073" s="4" t="inlineStr">
        <is>
          <t>Efetivo Concursado</t>
        </is>
      </c>
      <c r="D1073" s="4" t="inlineStr">
        <is>
          <t>SEC-SAU</t>
        </is>
      </c>
      <c r="E1073" s="6" t="n">
        <v>12559.18</v>
      </c>
      <c r="F1073" s="6">
        <f>E1073*0.22</f>
        <v/>
      </c>
      <c r="G1073" s="6">
        <f>E1073+F1073</f>
        <v/>
      </c>
      <c r="H1073" s="10" t="n">
        <v>1</v>
      </c>
      <c r="I1073" s="7">
        <f>H1073/(180*0.714)</f>
        <v/>
      </c>
    </row>
    <row r="1074">
      <c r="A1074" s="4" t="inlineStr">
        <is>
          <t>SERV-11070</t>
        </is>
      </c>
      <c r="B1074" s="5" t="inlineStr">
        <is>
          <t>Médico / Enfermeiro da Saúde da Família</t>
        </is>
      </c>
      <c r="C1074" s="4" t="inlineStr">
        <is>
          <t>Efetivo Concursado</t>
        </is>
      </c>
      <c r="D1074" s="4" t="inlineStr">
        <is>
          <t>SEC-SAU</t>
        </is>
      </c>
      <c r="E1074" s="6" t="n">
        <v>13922.91</v>
      </c>
      <c r="F1074" s="6">
        <f>E1074*0.22</f>
        <v/>
      </c>
      <c r="G1074" s="6">
        <f>E1074+F1074</f>
        <v/>
      </c>
      <c r="H1074" s="10" t="n">
        <v>1</v>
      </c>
      <c r="I1074" s="7">
        <f>H1074/(180*0.714)</f>
        <v/>
      </c>
    </row>
    <row r="1075">
      <c r="A1075" s="4" t="inlineStr">
        <is>
          <t>SERV-11071</t>
        </is>
      </c>
      <c r="B1075" s="5" t="inlineStr">
        <is>
          <t>Médico / Enfermeiro da Saúde da Família</t>
        </is>
      </c>
      <c r="C1075" s="4" t="inlineStr">
        <is>
          <t>Efetivo Concursado</t>
        </is>
      </c>
      <c r="D1075" s="4" t="inlineStr">
        <is>
          <t>SEC-SAU</t>
        </is>
      </c>
      <c r="E1075" s="6" t="n">
        <v>12389.29</v>
      </c>
      <c r="F1075" s="6">
        <f>E1075*0.22</f>
        <v/>
      </c>
      <c r="G1075" s="6">
        <f>E1075+F1075</f>
        <v/>
      </c>
      <c r="H1075" s="10" t="n">
        <v>4</v>
      </c>
      <c r="I1075" s="7">
        <f>H1075/(180*0.714)</f>
        <v/>
      </c>
    </row>
    <row r="1076">
      <c r="A1076" s="4" t="inlineStr">
        <is>
          <t>SERV-11072</t>
        </is>
      </c>
      <c r="B1076" s="5" t="inlineStr">
        <is>
          <t>Médico / Enfermeiro da Saúde da Família</t>
        </is>
      </c>
      <c r="C1076" s="4" t="inlineStr">
        <is>
          <t>Efetivo Concursado</t>
        </is>
      </c>
      <c r="D1076" s="4" t="inlineStr">
        <is>
          <t>SEC-SAU</t>
        </is>
      </c>
      <c r="E1076" s="6" t="n">
        <v>13967.83</v>
      </c>
      <c r="F1076" s="6">
        <f>E1076*0.22</f>
        <v/>
      </c>
      <c r="G1076" s="6">
        <f>E1076+F1076</f>
        <v/>
      </c>
      <c r="H1076" s="10" t="n">
        <v>4</v>
      </c>
      <c r="I1076" s="7">
        <f>H1076/(180*0.714)</f>
        <v/>
      </c>
    </row>
    <row r="1077">
      <c r="A1077" s="4" t="inlineStr">
        <is>
          <t>SERV-11073</t>
        </is>
      </c>
      <c r="B1077" s="5" t="inlineStr">
        <is>
          <t>Médico / Enfermeiro da Saúde da Família</t>
        </is>
      </c>
      <c r="C1077" s="4" t="inlineStr">
        <is>
          <t>Efetivo Concursado</t>
        </is>
      </c>
      <c r="D1077" s="4" t="inlineStr">
        <is>
          <t>SEC-SAU</t>
        </is>
      </c>
      <c r="E1077" s="6" t="n">
        <v>13356.56</v>
      </c>
      <c r="F1077" s="6">
        <f>E1077*0.22</f>
        <v/>
      </c>
      <c r="G1077" s="6">
        <f>E1077+F1077</f>
        <v/>
      </c>
      <c r="H1077" s="10" t="n">
        <v>5</v>
      </c>
      <c r="I1077" s="7">
        <f>H1077/(180*0.714)</f>
        <v/>
      </c>
    </row>
    <row r="1078">
      <c r="A1078" s="4" t="inlineStr">
        <is>
          <t>SERV-11074</t>
        </is>
      </c>
      <c r="B1078" s="5" t="inlineStr">
        <is>
          <t>Médico / Enfermeiro da Saúde da Família</t>
        </is>
      </c>
      <c r="C1078" s="4" t="inlineStr">
        <is>
          <t>Efetivo Concursado</t>
        </is>
      </c>
      <c r="D1078" s="4" t="inlineStr">
        <is>
          <t>SEC-SAU</t>
        </is>
      </c>
      <c r="E1078" s="6" t="n">
        <v>14137.39</v>
      </c>
      <c r="F1078" s="6">
        <f>E1078*0.22</f>
        <v/>
      </c>
      <c r="G1078" s="6">
        <f>E1078+F1078</f>
        <v/>
      </c>
      <c r="H1078" s="10" t="n">
        <v>2</v>
      </c>
      <c r="I1078" s="7">
        <f>H1078/(180*0.714)</f>
        <v/>
      </c>
    </row>
    <row r="1079">
      <c r="A1079" s="4" t="inlineStr">
        <is>
          <t>SERV-11075</t>
        </is>
      </c>
      <c r="B1079" s="5" t="inlineStr">
        <is>
          <t>Médico / Enfermeiro da Saúde da Família</t>
        </is>
      </c>
      <c r="C1079" s="4" t="inlineStr">
        <is>
          <t>Efetivo Concursado</t>
        </is>
      </c>
      <c r="D1079" s="4" t="inlineStr">
        <is>
          <t>SEC-SAU</t>
        </is>
      </c>
      <c r="E1079" s="6" t="n">
        <v>13590.63</v>
      </c>
      <c r="F1079" s="6">
        <f>E1079*0.22</f>
        <v/>
      </c>
      <c r="G1079" s="6">
        <f>E1079+F1079</f>
        <v/>
      </c>
      <c r="H1079" s="10" t="n">
        <v>5</v>
      </c>
      <c r="I1079" s="7">
        <f>H1079/(180*0.714)</f>
        <v/>
      </c>
    </row>
    <row r="1080">
      <c r="A1080" s="4" t="inlineStr">
        <is>
          <t>SERV-11076</t>
        </is>
      </c>
      <c r="B1080" s="5" t="inlineStr">
        <is>
          <t>Médico / Enfermeiro da Saúde da Família</t>
        </is>
      </c>
      <c r="C1080" s="4" t="inlineStr">
        <is>
          <t>Efetivo Concursado</t>
        </is>
      </c>
      <c r="D1080" s="4" t="inlineStr">
        <is>
          <t>SEC-SAU</t>
        </is>
      </c>
      <c r="E1080" s="6" t="n">
        <v>14073.99</v>
      </c>
      <c r="F1080" s="6">
        <f>E1080*0.22</f>
        <v/>
      </c>
      <c r="G1080" s="6">
        <f>E1080+F1080</f>
        <v/>
      </c>
      <c r="H1080" s="10" t="n">
        <v>3</v>
      </c>
      <c r="I1080" s="7">
        <f>H1080/(180*0.714)</f>
        <v/>
      </c>
    </row>
    <row r="1081">
      <c r="A1081" s="4" t="inlineStr">
        <is>
          <t>SERV-11077</t>
        </is>
      </c>
      <c r="B1081" s="5" t="inlineStr">
        <is>
          <t>Médico / Enfermeiro da Saúde da Família</t>
        </is>
      </c>
      <c r="C1081" s="4" t="inlineStr">
        <is>
          <t>Efetivo Concursado</t>
        </is>
      </c>
      <c r="D1081" s="4" t="inlineStr">
        <is>
          <t>SEC-SAU</t>
        </is>
      </c>
      <c r="E1081" s="6" t="n">
        <v>14307.65</v>
      </c>
      <c r="F1081" s="6">
        <f>E1081*0.22</f>
        <v/>
      </c>
      <c r="G1081" s="6">
        <f>E1081+F1081</f>
        <v/>
      </c>
      <c r="H1081" s="10" t="n">
        <v>4</v>
      </c>
      <c r="I1081" s="7">
        <f>H1081/(180*0.714)</f>
        <v/>
      </c>
    </row>
    <row r="1082">
      <c r="A1082" s="4" t="inlineStr">
        <is>
          <t>SERV-11078</t>
        </is>
      </c>
      <c r="B1082" s="5" t="inlineStr">
        <is>
          <t>Médico / Enfermeiro da Saúde da Família</t>
        </is>
      </c>
      <c r="C1082" s="4" t="inlineStr">
        <is>
          <t>Efetivo Concursado</t>
        </is>
      </c>
      <c r="D1082" s="4" t="inlineStr">
        <is>
          <t>SEC-SAU</t>
        </is>
      </c>
      <c r="E1082" s="6" t="n">
        <v>13779.91</v>
      </c>
      <c r="F1082" s="6">
        <f>E1082*0.22</f>
        <v/>
      </c>
      <c r="G1082" s="6">
        <f>E1082+F1082</f>
        <v/>
      </c>
      <c r="H1082" s="10" t="n">
        <v>1</v>
      </c>
      <c r="I1082" s="7">
        <f>H1082/(180*0.714)</f>
        <v/>
      </c>
    </row>
    <row r="1083">
      <c r="A1083" s="4" t="inlineStr">
        <is>
          <t>SERV-11079</t>
        </is>
      </c>
      <c r="B1083" s="5" t="inlineStr">
        <is>
          <t>Médico / Enfermeiro da Saúde da Família</t>
        </is>
      </c>
      <c r="C1083" s="4" t="inlineStr">
        <is>
          <t>Efetivo Concursado</t>
        </is>
      </c>
      <c r="D1083" s="4" t="inlineStr">
        <is>
          <t>SEC-SAU</t>
        </is>
      </c>
      <c r="E1083" s="6" t="n">
        <v>13537.69</v>
      </c>
      <c r="F1083" s="6">
        <f>E1083*0.22</f>
        <v/>
      </c>
      <c r="G1083" s="6">
        <f>E1083+F1083</f>
        <v/>
      </c>
      <c r="H1083" s="10" t="n">
        <v>3</v>
      </c>
      <c r="I1083" s="7">
        <f>H1083/(180*0.714)</f>
        <v/>
      </c>
    </row>
    <row r="1084">
      <c r="A1084" s="4" t="inlineStr">
        <is>
          <t>SERV-11080</t>
        </is>
      </c>
      <c r="B1084" s="5" t="inlineStr">
        <is>
          <t>Médico / Enfermeiro da Saúde da Família</t>
        </is>
      </c>
      <c r="C1084" s="4" t="inlineStr">
        <is>
          <t>Efetivo Concursado</t>
        </is>
      </c>
      <c r="D1084" s="4" t="inlineStr">
        <is>
          <t>SEC-SAU</t>
        </is>
      </c>
      <c r="E1084" s="6" t="n">
        <v>14240.24</v>
      </c>
      <c r="F1084" s="6">
        <f>E1084*0.22</f>
        <v/>
      </c>
      <c r="G1084" s="6">
        <f>E1084+F1084</f>
        <v/>
      </c>
      <c r="H1084" s="10" t="n">
        <v>1</v>
      </c>
      <c r="I1084" s="7">
        <f>H1084/(180*0.714)</f>
        <v/>
      </c>
    </row>
    <row r="1085">
      <c r="A1085" s="4" t="inlineStr">
        <is>
          <t>SERV-11081</t>
        </is>
      </c>
      <c r="B1085" s="5" t="inlineStr">
        <is>
          <t>Médico / Enfermeiro da Saúde da Família</t>
        </is>
      </c>
      <c r="C1085" s="4" t="inlineStr">
        <is>
          <t>Efetivo Concursado</t>
        </is>
      </c>
      <c r="D1085" s="4" t="inlineStr">
        <is>
          <t>SEC-SAU</t>
        </is>
      </c>
      <c r="E1085" s="6" t="n">
        <v>13033.11</v>
      </c>
      <c r="F1085" s="6">
        <f>E1085*0.22</f>
        <v/>
      </c>
      <c r="G1085" s="6">
        <f>E1085+F1085</f>
        <v/>
      </c>
      <c r="H1085" s="10" t="n">
        <v>3</v>
      </c>
      <c r="I1085" s="7">
        <f>H1085/(180*0.714)</f>
        <v/>
      </c>
    </row>
    <row r="1086">
      <c r="A1086" s="4" t="inlineStr">
        <is>
          <t>SERV-11082</t>
        </is>
      </c>
      <c r="B1086" s="5" t="inlineStr">
        <is>
          <t>Médico / Enfermeiro da Saúde da Família</t>
        </is>
      </c>
      <c r="C1086" s="4" t="inlineStr">
        <is>
          <t>Efetivo Concursado</t>
        </is>
      </c>
      <c r="D1086" s="4" t="inlineStr">
        <is>
          <t>SEC-SAU</t>
        </is>
      </c>
      <c r="E1086" s="6" t="n">
        <v>13997.66</v>
      </c>
      <c r="F1086" s="6">
        <f>E1086*0.22</f>
        <v/>
      </c>
      <c r="G1086" s="6">
        <f>E1086+F1086</f>
        <v/>
      </c>
      <c r="H1086" s="10" t="n">
        <v>4</v>
      </c>
      <c r="I1086" s="7">
        <f>H1086/(180*0.714)</f>
        <v/>
      </c>
    </row>
    <row r="1087">
      <c r="A1087" s="4" t="inlineStr">
        <is>
          <t>SERV-11083</t>
        </is>
      </c>
      <c r="B1087" s="5" t="inlineStr">
        <is>
          <t>Médico / Enfermeiro da Saúde da Família</t>
        </is>
      </c>
      <c r="C1087" s="4" t="inlineStr">
        <is>
          <t>Efetivo Concursado</t>
        </is>
      </c>
      <c r="D1087" s="4" t="inlineStr">
        <is>
          <t>SEC-SAU</t>
        </is>
      </c>
      <c r="E1087" s="6" t="n">
        <v>14090.67</v>
      </c>
      <c r="F1087" s="6">
        <f>E1087*0.22</f>
        <v/>
      </c>
      <c r="G1087" s="6">
        <f>E1087+F1087</f>
        <v/>
      </c>
      <c r="H1087" s="10" t="n">
        <v>4</v>
      </c>
      <c r="I1087" s="7">
        <f>H1087/(180*0.714)</f>
        <v/>
      </c>
    </row>
    <row r="1088">
      <c r="A1088" s="4" t="inlineStr">
        <is>
          <t>SERV-11084</t>
        </is>
      </c>
      <c r="B1088" s="5" t="inlineStr">
        <is>
          <t>Médico / Enfermeiro da Saúde da Família</t>
        </is>
      </c>
      <c r="C1088" s="4" t="inlineStr">
        <is>
          <t>Efetivo Concursado</t>
        </is>
      </c>
      <c r="D1088" s="4" t="inlineStr">
        <is>
          <t>SEC-SAU</t>
        </is>
      </c>
      <c r="E1088" s="6" t="n">
        <v>13658.89</v>
      </c>
      <c r="F1088" s="6">
        <f>E1088*0.22</f>
        <v/>
      </c>
      <c r="G1088" s="6">
        <f>E1088+F1088</f>
        <v/>
      </c>
      <c r="H1088" s="10" t="n">
        <v>1</v>
      </c>
      <c r="I1088" s="7">
        <f>H1088/(180*0.714)</f>
        <v/>
      </c>
    </row>
    <row r="1089">
      <c r="A1089" s="4" t="inlineStr">
        <is>
          <t>SERV-11085</t>
        </is>
      </c>
      <c r="B1089" s="5" t="inlineStr">
        <is>
          <t>Médico / Enfermeiro da Saúde da Família</t>
        </is>
      </c>
      <c r="C1089" s="4" t="inlineStr">
        <is>
          <t>Efetivo Concursado</t>
        </is>
      </c>
      <c r="D1089" s="4" t="inlineStr">
        <is>
          <t>SEC-SAU</t>
        </is>
      </c>
      <c r="E1089" s="6" t="n">
        <v>12916.65</v>
      </c>
      <c r="F1089" s="6">
        <f>E1089*0.22</f>
        <v/>
      </c>
      <c r="G1089" s="6">
        <f>E1089+F1089</f>
        <v/>
      </c>
      <c r="H1089" s="10" t="n">
        <v>4</v>
      </c>
      <c r="I1089" s="7">
        <f>H1089/(180*0.714)</f>
        <v/>
      </c>
    </row>
    <row r="1090">
      <c r="A1090" s="4" t="inlineStr">
        <is>
          <t>SERV-11086</t>
        </is>
      </c>
      <c r="B1090" s="5" t="inlineStr">
        <is>
          <t>Médico / Enfermeiro da Saúde da Família</t>
        </is>
      </c>
      <c r="C1090" s="4" t="inlineStr">
        <is>
          <t>Efetivo Concursado</t>
        </is>
      </c>
      <c r="D1090" s="4" t="inlineStr">
        <is>
          <t>SEC-SAU</t>
        </is>
      </c>
      <c r="E1090" s="6" t="n">
        <v>12707.53</v>
      </c>
      <c r="F1090" s="6">
        <f>E1090*0.22</f>
        <v/>
      </c>
      <c r="G1090" s="6">
        <f>E1090+F1090</f>
        <v/>
      </c>
      <c r="H1090" s="10" t="n">
        <v>2</v>
      </c>
      <c r="I1090" s="7">
        <f>H1090/(180*0.714)</f>
        <v/>
      </c>
    </row>
    <row r="1091">
      <c r="A1091" s="4" t="inlineStr">
        <is>
          <t>SERV-11087</t>
        </is>
      </c>
      <c r="B1091" s="5" t="inlineStr">
        <is>
          <t>Médico / Enfermeiro da Saúde da Família</t>
        </is>
      </c>
      <c r="C1091" s="4" t="inlineStr">
        <is>
          <t>Efetivo Concursado</t>
        </is>
      </c>
      <c r="D1091" s="4" t="inlineStr">
        <is>
          <t>SEC-SAU</t>
        </is>
      </c>
      <c r="E1091" s="6" t="n">
        <v>12257.72</v>
      </c>
      <c r="F1091" s="6">
        <f>E1091*0.22</f>
        <v/>
      </c>
      <c r="G1091" s="6">
        <f>E1091+F1091</f>
        <v/>
      </c>
      <c r="H1091" s="10" t="n">
        <v>4</v>
      </c>
      <c r="I1091" s="7">
        <f>H1091/(180*0.714)</f>
        <v/>
      </c>
    </row>
    <row r="1092">
      <c r="A1092" s="4" t="inlineStr">
        <is>
          <t>SERV-11088</t>
        </is>
      </c>
      <c r="B1092" s="5" t="inlineStr">
        <is>
          <t>Médico / Enfermeiro da Saúde da Família</t>
        </is>
      </c>
      <c r="C1092" s="4" t="inlineStr">
        <is>
          <t>Efetivo Concursado</t>
        </is>
      </c>
      <c r="D1092" s="4" t="inlineStr">
        <is>
          <t>SEC-SAU</t>
        </is>
      </c>
      <c r="E1092" s="6" t="n">
        <v>13924.78</v>
      </c>
      <c r="F1092" s="6">
        <f>E1092*0.22</f>
        <v/>
      </c>
      <c r="G1092" s="6">
        <f>E1092+F1092</f>
        <v/>
      </c>
      <c r="H1092" s="10" t="n">
        <v>3</v>
      </c>
      <c r="I1092" s="7">
        <f>H1092/(180*0.714)</f>
        <v/>
      </c>
    </row>
    <row r="1093">
      <c r="A1093" s="4" t="inlineStr">
        <is>
          <t>SERV-11089</t>
        </is>
      </c>
      <c r="B1093" s="5" t="inlineStr">
        <is>
          <t>Médico / Enfermeiro da Saúde da Família</t>
        </is>
      </c>
      <c r="C1093" s="4" t="inlineStr">
        <is>
          <t>Efetivo Concursado</t>
        </is>
      </c>
      <c r="D1093" s="4" t="inlineStr">
        <is>
          <t>SEC-SAU</t>
        </is>
      </c>
      <c r="E1093" s="6" t="n">
        <v>12422.39</v>
      </c>
      <c r="F1093" s="6">
        <f>E1093*0.22</f>
        <v/>
      </c>
      <c r="G1093" s="6">
        <f>E1093+F1093</f>
        <v/>
      </c>
      <c r="H1093" s="10" t="n">
        <v>3</v>
      </c>
      <c r="I1093" s="7">
        <f>H1093/(180*0.714)</f>
        <v/>
      </c>
    </row>
    <row r="1094">
      <c r="A1094" s="4" t="inlineStr">
        <is>
          <t>SERV-11090</t>
        </is>
      </c>
      <c r="B1094" s="5" t="inlineStr">
        <is>
          <t>Médico / Enfermeiro da Saúde da Família</t>
        </is>
      </c>
      <c r="C1094" s="4" t="inlineStr">
        <is>
          <t>Efetivo Concursado</t>
        </is>
      </c>
      <c r="D1094" s="4" t="inlineStr">
        <is>
          <t>SEC-SAU</t>
        </is>
      </c>
      <c r="E1094" s="6" t="n">
        <v>13011.12</v>
      </c>
      <c r="F1094" s="6">
        <f>E1094*0.22</f>
        <v/>
      </c>
      <c r="G1094" s="6">
        <f>E1094+F1094</f>
        <v/>
      </c>
      <c r="H1094" s="10" t="n">
        <v>3</v>
      </c>
      <c r="I1094" s="7">
        <f>H1094/(180*0.714)</f>
        <v/>
      </c>
    </row>
    <row r="1095">
      <c r="A1095" s="4" t="inlineStr">
        <is>
          <t>SERV-11091</t>
        </is>
      </c>
      <c r="B1095" s="5" t="inlineStr">
        <is>
          <t>Médico / Enfermeiro da Saúde da Família</t>
        </is>
      </c>
      <c r="C1095" s="4" t="inlineStr">
        <is>
          <t>Efetivo Concursado</t>
        </is>
      </c>
      <c r="D1095" s="4" t="inlineStr">
        <is>
          <t>SEC-SAU</t>
        </is>
      </c>
      <c r="E1095" s="6" t="n">
        <v>12151.53</v>
      </c>
      <c r="F1095" s="6">
        <f>E1095*0.22</f>
        <v/>
      </c>
      <c r="G1095" s="6">
        <f>E1095+F1095</f>
        <v/>
      </c>
      <c r="H1095" s="10" t="n">
        <v>3</v>
      </c>
      <c r="I1095" s="7">
        <f>H1095/(180*0.714)</f>
        <v/>
      </c>
    </row>
    <row r="1096">
      <c r="A1096" s="4" t="inlineStr">
        <is>
          <t>SERV-11092</t>
        </is>
      </c>
      <c r="B1096" s="5" t="inlineStr">
        <is>
          <t>Médico / Enfermeiro da Saúde da Família</t>
        </is>
      </c>
      <c r="C1096" s="4" t="inlineStr">
        <is>
          <t>Efetivo Concursado</t>
        </is>
      </c>
      <c r="D1096" s="4" t="inlineStr">
        <is>
          <t>SEC-SAU</t>
        </is>
      </c>
      <c r="E1096" s="6" t="n">
        <v>13483.59</v>
      </c>
      <c r="F1096" s="6">
        <f>E1096*0.22</f>
        <v/>
      </c>
      <c r="G1096" s="6">
        <f>E1096+F1096</f>
        <v/>
      </c>
      <c r="H1096" s="10" t="n">
        <v>4</v>
      </c>
      <c r="I1096" s="7">
        <f>H1096/(180*0.714)</f>
        <v/>
      </c>
    </row>
    <row r="1097">
      <c r="A1097" s="4" t="inlineStr">
        <is>
          <t>SERV-11093</t>
        </is>
      </c>
      <c r="B1097" s="5" t="inlineStr">
        <is>
          <t>Médico / Enfermeiro da Saúde da Família</t>
        </is>
      </c>
      <c r="C1097" s="4" t="inlineStr">
        <is>
          <t>Efetivo Concursado</t>
        </is>
      </c>
      <c r="D1097" s="4" t="inlineStr">
        <is>
          <t>SEC-SAU</t>
        </is>
      </c>
      <c r="E1097" s="6" t="n">
        <v>12503.32</v>
      </c>
      <c r="F1097" s="6">
        <f>E1097*0.22</f>
        <v/>
      </c>
      <c r="G1097" s="6">
        <f>E1097+F1097</f>
        <v/>
      </c>
      <c r="H1097" s="10" t="n">
        <v>5</v>
      </c>
      <c r="I1097" s="7">
        <f>H1097/(180*0.714)</f>
        <v/>
      </c>
    </row>
    <row r="1098">
      <c r="A1098" s="4" t="inlineStr">
        <is>
          <t>SERV-11094</t>
        </is>
      </c>
      <c r="B1098" s="5" t="inlineStr">
        <is>
          <t>Médico / Enfermeiro da Saúde da Família</t>
        </is>
      </c>
      <c r="C1098" s="4" t="inlineStr">
        <is>
          <t>Efetivo Concursado</t>
        </is>
      </c>
      <c r="D1098" s="4" t="inlineStr">
        <is>
          <t>SEC-SAU</t>
        </is>
      </c>
      <c r="E1098" s="6" t="n">
        <v>14207.8</v>
      </c>
      <c r="F1098" s="6">
        <f>E1098*0.22</f>
        <v/>
      </c>
      <c r="G1098" s="6">
        <f>E1098+F1098</f>
        <v/>
      </c>
      <c r="H1098" s="10" t="n">
        <v>5</v>
      </c>
      <c r="I1098" s="7">
        <f>H1098/(180*0.714)</f>
        <v/>
      </c>
    </row>
    <row r="1099">
      <c r="A1099" s="4" t="inlineStr">
        <is>
          <t>SERV-11095</t>
        </is>
      </c>
      <c r="B1099" s="5" t="inlineStr">
        <is>
          <t>Médico / Enfermeiro da Saúde da Família</t>
        </is>
      </c>
      <c r="C1099" s="4" t="inlineStr">
        <is>
          <t>Efetivo Concursado</t>
        </is>
      </c>
      <c r="D1099" s="4" t="inlineStr">
        <is>
          <t>SEC-SAU</t>
        </is>
      </c>
      <c r="E1099" s="6" t="n">
        <v>12828.5</v>
      </c>
      <c r="F1099" s="6">
        <f>E1099*0.22</f>
        <v/>
      </c>
      <c r="G1099" s="6">
        <f>E1099+F1099</f>
        <v/>
      </c>
      <c r="H1099" s="10" t="n">
        <v>3</v>
      </c>
      <c r="I1099" s="7">
        <f>H1099/(180*0.714)</f>
        <v/>
      </c>
    </row>
    <row r="1100">
      <c r="A1100" s="4" t="inlineStr">
        <is>
          <t>SERV-11096</t>
        </is>
      </c>
      <c r="B1100" s="5" t="inlineStr">
        <is>
          <t>Médico / Enfermeiro da Saúde da Família</t>
        </is>
      </c>
      <c r="C1100" s="4" t="inlineStr">
        <is>
          <t>Efetivo Concursado</t>
        </is>
      </c>
      <c r="D1100" s="4" t="inlineStr">
        <is>
          <t>SEC-SAU</t>
        </is>
      </c>
      <c r="E1100" s="6" t="n">
        <v>14104.34</v>
      </c>
      <c r="F1100" s="6">
        <f>E1100*0.22</f>
        <v/>
      </c>
      <c r="G1100" s="6">
        <f>E1100+F1100</f>
        <v/>
      </c>
      <c r="H1100" s="10" t="n">
        <v>2</v>
      </c>
      <c r="I1100" s="7">
        <f>H1100/(180*0.714)</f>
        <v/>
      </c>
    </row>
    <row r="1101">
      <c r="A1101" s="4" t="inlineStr">
        <is>
          <t>SERV-11097</t>
        </is>
      </c>
      <c r="B1101" s="5" t="inlineStr">
        <is>
          <t>Médico / Enfermeiro da Saúde da Família</t>
        </is>
      </c>
      <c r="C1101" s="4" t="inlineStr">
        <is>
          <t>Efetivo Concursado</t>
        </is>
      </c>
      <c r="D1101" s="4" t="inlineStr">
        <is>
          <t>SEC-SAU</t>
        </is>
      </c>
      <c r="E1101" s="6" t="n">
        <v>12291.54</v>
      </c>
      <c r="F1101" s="6">
        <f>E1101*0.22</f>
        <v/>
      </c>
      <c r="G1101" s="6">
        <f>E1101+F1101</f>
        <v/>
      </c>
      <c r="H1101" s="10" t="n">
        <v>1</v>
      </c>
      <c r="I1101" s="7">
        <f>H1101/(180*0.714)</f>
        <v/>
      </c>
    </row>
    <row r="1102">
      <c r="A1102" s="4" t="inlineStr">
        <is>
          <t>SERV-11098</t>
        </is>
      </c>
      <c r="B1102" s="5" t="inlineStr">
        <is>
          <t>Médico / Enfermeiro da Saúde da Família</t>
        </is>
      </c>
      <c r="C1102" s="4" t="inlineStr">
        <is>
          <t>Efetivo Concursado</t>
        </is>
      </c>
      <c r="D1102" s="4" t="inlineStr">
        <is>
          <t>SEC-SAU</t>
        </is>
      </c>
      <c r="E1102" s="6" t="n">
        <v>13323.85</v>
      </c>
      <c r="F1102" s="6">
        <f>E1102*0.22</f>
        <v/>
      </c>
      <c r="G1102" s="6">
        <f>E1102+F1102</f>
        <v/>
      </c>
      <c r="H1102" s="10" t="n">
        <v>3</v>
      </c>
      <c r="I1102" s="7">
        <f>H1102/(180*0.714)</f>
        <v/>
      </c>
    </row>
    <row r="1103">
      <c r="A1103" s="4" t="inlineStr">
        <is>
          <t>SERV-11099</t>
        </is>
      </c>
      <c r="B1103" s="5" t="inlineStr">
        <is>
          <t>Médico / Enfermeiro da Saúde da Família</t>
        </is>
      </c>
      <c r="C1103" s="4" t="inlineStr">
        <is>
          <t>Efetivo Concursado</t>
        </is>
      </c>
      <c r="D1103" s="4" t="inlineStr">
        <is>
          <t>SEC-SAU</t>
        </is>
      </c>
      <c r="E1103" s="6" t="n">
        <v>13981.86</v>
      </c>
      <c r="F1103" s="6">
        <f>E1103*0.22</f>
        <v/>
      </c>
      <c r="G1103" s="6">
        <f>E1103+F1103</f>
        <v/>
      </c>
      <c r="H1103" s="10" t="n">
        <v>1</v>
      </c>
      <c r="I1103" s="7">
        <f>H1103/(180*0.714)</f>
        <v/>
      </c>
    </row>
    <row r="1104">
      <c r="A1104" s="4" t="inlineStr">
        <is>
          <t>SERV-11100</t>
        </is>
      </c>
      <c r="B1104" s="5" t="inlineStr">
        <is>
          <t>Médico / Enfermeiro da Saúde da Família</t>
        </is>
      </c>
      <c r="C1104" s="4" t="inlineStr">
        <is>
          <t>Efetivo Concursado</t>
        </is>
      </c>
      <c r="D1104" s="4" t="inlineStr">
        <is>
          <t>SEC-SAU</t>
        </is>
      </c>
      <c r="E1104" s="6" t="n">
        <v>13007.48</v>
      </c>
      <c r="F1104" s="6">
        <f>E1104*0.22</f>
        <v/>
      </c>
      <c r="G1104" s="6">
        <f>E1104+F1104</f>
        <v/>
      </c>
      <c r="H1104" s="10" t="n">
        <v>3</v>
      </c>
      <c r="I1104" s="7">
        <f>H1104/(180*0.714)</f>
        <v/>
      </c>
    </row>
    <row r="1105">
      <c r="A1105" s="4" t="inlineStr">
        <is>
          <t>SERV-11101</t>
        </is>
      </c>
      <c r="B1105" s="5" t="inlineStr">
        <is>
          <t>Médico / Enfermeiro da Saúde da Família</t>
        </is>
      </c>
      <c r="C1105" s="4" t="inlineStr">
        <is>
          <t>Efetivo Concursado</t>
        </is>
      </c>
      <c r="D1105" s="4" t="inlineStr">
        <is>
          <t>SEC-SAU</t>
        </is>
      </c>
      <c r="E1105" s="6" t="n">
        <v>12126.11</v>
      </c>
      <c r="F1105" s="6">
        <f>E1105*0.22</f>
        <v/>
      </c>
      <c r="G1105" s="6">
        <f>E1105+F1105</f>
        <v/>
      </c>
      <c r="H1105" s="10" t="n">
        <v>2</v>
      </c>
      <c r="I1105" s="7">
        <f>H1105/(180*0.714)</f>
        <v/>
      </c>
    </row>
    <row r="1106">
      <c r="A1106" s="4" t="inlineStr">
        <is>
          <t>SERV-11102</t>
        </is>
      </c>
      <c r="B1106" s="5" t="inlineStr">
        <is>
          <t>Médico / Enfermeiro da Saúde da Família</t>
        </is>
      </c>
      <c r="C1106" s="4" t="inlineStr">
        <is>
          <t>Efetivo Concursado</t>
        </is>
      </c>
      <c r="D1106" s="4" t="inlineStr">
        <is>
          <t>SEC-SAU</t>
        </is>
      </c>
      <c r="E1106" s="6" t="n">
        <v>13903.7</v>
      </c>
      <c r="F1106" s="6">
        <f>E1106*0.22</f>
        <v/>
      </c>
      <c r="G1106" s="6">
        <f>E1106+F1106</f>
        <v/>
      </c>
      <c r="H1106" s="10" t="n">
        <v>2</v>
      </c>
      <c r="I1106" s="7">
        <f>H1106/(180*0.714)</f>
        <v/>
      </c>
    </row>
    <row r="1107">
      <c r="A1107" s="4" t="inlineStr">
        <is>
          <t>SERV-11103</t>
        </is>
      </c>
      <c r="B1107" s="5" t="inlineStr">
        <is>
          <t>Médico / Enfermeiro da Saúde da Família</t>
        </is>
      </c>
      <c r="C1107" s="4" t="inlineStr">
        <is>
          <t>Efetivo Concursado</t>
        </is>
      </c>
      <c r="D1107" s="4" t="inlineStr">
        <is>
          <t>SEC-SAU</t>
        </is>
      </c>
      <c r="E1107" s="6" t="n">
        <v>14220.46</v>
      </c>
      <c r="F1107" s="6">
        <f>E1107*0.22</f>
        <v/>
      </c>
      <c r="G1107" s="6">
        <f>E1107+F1107</f>
        <v/>
      </c>
      <c r="H1107" s="10" t="n">
        <v>1</v>
      </c>
      <c r="I1107" s="7">
        <f>H1107/(180*0.714)</f>
        <v/>
      </c>
    </row>
    <row r="1108">
      <c r="A1108" s="4" t="inlineStr">
        <is>
          <t>SERV-11104</t>
        </is>
      </c>
      <c r="B1108" s="5" t="inlineStr">
        <is>
          <t>Médico / Enfermeiro da Saúde da Família</t>
        </is>
      </c>
      <c r="C1108" s="4" t="inlineStr">
        <is>
          <t>Efetivo Concursado</t>
        </is>
      </c>
      <c r="D1108" s="4" t="inlineStr">
        <is>
          <t>SEC-SAU</t>
        </is>
      </c>
      <c r="E1108" s="6" t="n">
        <v>14185.95</v>
      </c>
      <c r="F1108" s="6">
        <f>E1108*0.22</f>
        <v/>
      </c>
      <c r="G1108" s="6">
        <f>E1108+F1108</f>
        <v/>
      </c>
      <c r="H1108" s="10" t="n">
        <v>4</v>
      </c>
      <c r="I1108" s="7">
        <f>H1108/(180*0.714)</f>
        <v/>
      </c>
    </row>
    <row r="1109">
      <c r="A1109" s="4" t="inlineStr">
        <is>
          <t>SERV-11105</t>
        </is>
      </c>
      <c r="B1109" s="5" t="inlineStr">
        <is>
          <t>Médico / Enfermeiro da Saúde da Família</t>
        </is>
      </c>
      <c r="C1109" s="4" t="inlineStr">
        <is>
          <t>Efetivo Concursado</t>
        </is>
      </c>
      <c r="D1109" s="4" t="inlineStr">
        <is>
          <t>SEC-SAU</t>
        </is>
      </c>
      <c r="E1109" s="6" t="n">
        <v>14335.61</v>
      </c>
      <c r="F1109" s="6">
        <f>E1109*0.22</f>
        <v/>
      </c>
      <c r="G1109" s="6">
        <f>E1109+F1109</f>
        <v/>
      </c>
      <c r="H1109" s="10" t="n">
        <v>5</v>
      </c>
      <c r="I1109" s="7">
        <f>H1109/(180*0.714)</f>
        <v/>
      </c>
    </row>
    <row r="1110">
      <c r="A1110" s="4" t="inlineStr">
        <is>
          <t>SERV-11106</t>
        </is>
      </c>
      <c r="B1110" s="5" t="inlineStr">
        <is>
          <t>Médico / Enfermeiro da Saúde da Família</t>
        </is>
      </c>
      <c r="C1110" s="4" t="inlineStr">
        <is>
          <t>Efetivo Concursado</t>
        </is>
      </c>
      <c r="D1110" s="4" t="inlineStr">
        <is>
          <t>SEC-SAU</t>
        </is>
      </c>
      <c r="E1110" s="6" t="n">
        <v>13581.6</v>
      </c>
      <c r="F1110" s="6">
        <f>E1110*0.22</f>
        <v/>
      </c>
      <c r="G1110" s="6">
        <f>E1110+F1110</f>
        <v/>
      </c>
      <c r="H1110" s="10" t="n">
        <v>2</v>
      </c>
      <c r="I1110" s="7">
        <f>H1110/(180*0.714)</f>
        <v/>
      </c>
    </row>
    <row r="1111">
      <c r="A1111" s="4" t="inlineStr">
        <is>
          <t>SERV-11107</t>
        </is>
      </c>
      <c r="B1111" s="5" t="inlineStr">
        <is>
          <t>Médico / Enfermeiro da Saúde da Família</t>
        </is>
      </c>
      <c r="C1111" s="4" t="inlineStr">
        <is>
          <t>Efetivo Concursado</t>
        </is>
      </c>
      <c r="D1111" s="4" t="inlineStr">
        <is>
          <t>SEC-SAU</t>
        </is>
      </c>
      <c r="E1111" s="6" t="n">
        <v>13049.34</v>
      </c>
      <c r="F1111" s="6">
        <f>E1111*0.22</f>
        <v/>
      </c>
      <c r="G1111" s="6">
        <f>E1111+F1111</f>
        <v/>
      </c>
      <c r="H1111" s="10" t="n">
        <v>3</v>
      </c>
      <c r="I1111" s="7">
        <f>H1111/(180*0.714)</f>
        <v/>
      </c>
    </row>
    <row r="1112">
      <c r="A1112" s="4" t="inlineStr">
        <is>
          <t>SERV-11108</t>
        </is>
      </c>
      <c r="B1112" s="5" t="inlineStr">
        <is>
          <t>Médico / Enfermeiro da Saúde da Família</t>
        </is>
      </c>
      <c r="C1112" s="4" t="inlineStr">
        <is>
          <t>Efetivo Concursado</t>
        </is>
      </c>
      <c r="D1112" s="4" t="inlineStr">
        <is>
          <t>SEC-SAU</t>
        </is>
      </c>
      <c r="E1112" s="6" t="n">
        <v>13010.56</v>
      </c>
      <c r="F1112" s="6">
        <f>E1112*0.22</f>
        <v/>
      </c>
      <c r="G1112" s="6">
        <f>E1112+F1112</f>
        <v/>
      </c>
      <c r="H1112" s="10" t="n">
        <v>3</v>
      </c>
      <c r="I1112" s="7">
        <f>H1112/(180*0.714)</f>
        <v/>
      </c>
    </row>
    <row r="1113">
      <c r="A1113" s="4" t="inlineStr">
        <is>
          <t>SERV-11109</t>
        </is>
      </c>
      <c r="B1113" s="5" t="inlineStr">
        <is>
          <t>Médico / Enfermeiro da Saúde da Família</t>
        </is>
      </c>
      <c r="C1113" s="4" t="inlineStr">
        <is>
          <t>Efetivo Concursado</t>
        </is>
      </c>
      <c r="D1113" s="4" t="inlineStr">
        <is>
          <t>SEC-SAU</t>
        </is>
      </c>
      <c r="E1113" s="6" t="n">
        <v>12826.49</v>
      </c>
      <c r="F1113" s="6">
        <f>E1113*0.22</f>
        <v/>
      </c>
      <c r="G1113" s="6">
        <f>E1113+F1113</f>
        <v/>
      </c>
      <c r="H1113" s="10" t="n">
        <v>2</v>
      </c>
      <c r="I1113" s="7">
        <f>H1113/(180*0.714)</f>
        <v/>
      </c>
    </row>
    <row r="1114">
      <c r="A1114" s="4" t="inlineStr">
        <is>
          <t>SERV-11110</t>
        </is>
      </c>
      <c r="B1114" s="5" t="inlineStr">
        <is>
          <t>Médico / Enfermeiro da Saúde da Família</t>
        </is>
      </c>
      <c r="C1114" s="4" t="inlineStr">
        <is>
          <t>Efetivo Concursado</t>
        </is>
      </c>
      <c r="D1114" s="4" t="inlineStr">
        <is>
          <t>SEC-SAU</t>
        </is>
      </c>
      <c r="E1114" s="6" t="n">
        <v>13835.58</v>
      </c>
      <c r="F1114" s="6">
        <f>E1114*0.22</f>
        <v/>
      </c>
      <c r="G1114" s="6">
        <f>E1114+F1114</f>
        <v/>
      </c>
      <c r="H1114" s="10" t="n">
        <v>4</v>
      </c>
      <c r="I1114" s="7">
        <f>H1114/(180*0.714)</f>
        <v/>
      </c>
    </row>
    <row r="1115">
      <c r="A1115" s="4" t="inlineStr">
        <is>
          <t>SERV-11111</t>
        </is>
      </c>
      <c r="B1115" s="5" t="inlineStr">
        <is>
          <t>Médico / Enfermeiro da Saúde da Família</t>
        </is>
      </c>
      <c r="C1115" s="4" t="inlineStr">
        <is>
          <t>Efetivo Concursado</t>
        </is>
      </c>
      <c r="D1115" s="4" t="inlineStr">
        <is>
          <t>SEC-SAU</t>
        </is>
      </c>
      <c r="E1115" s="6" t="n">
        <v>11825.56</v>
      </c>
      <c r="F1115" s="6">
        <f>E1115*0.22</f>
        <v/>
      </c>
      <c r="G1115" s="6">
        <f>E1115+F1115</f>
        <v/>
      </c>
      <c r="H1115" s="10" t="n">
        <v>3</v>
      </c>
      <c r="I1115" s="7">
        <f>H1115/(180*0.714)</f>
        <v/>
      </c>
    </row>
    <row r="1116">
      <c r="A1116" s="4" t="inlineStr">
        <is>
          <t>SERV-11112</t>
        </is>
      </c>
      <c r="B1116" s="5" t="inlineStr">
        <is>
          <t>Médico / Enfermeiro da Saúde da Família</t>
        </is>
      </c>
      <c r="C1116" s="4" t="inlineStr">
        <is>
          <t>Efetivo Concursado</t>
        </is>
      </c>
      <c r="D1116" s="4" t="inlineStr">
        <is>
          <t>SEC-SAU</t>
        </is>
      </c>
      <c r="E1116" s="6" t="n">
        <v>12247.95</v>
      </c>
      <c r="F1116" s="6">
        <f>E1116*0.22</f>
        <v/>
      </c>
      <c r="G1116" s="6">
        <f>E1116+F1116</f>
        <v/>
      </c>
      <c r="H1116" s="10" t="n">
        <v>1</v>
      </c>
      <c r="I1116" s="7">
        <f>H1116/(180*0.714)</f>
        <v/>
      </c>
    </row>
    <row r="1117">
      <c r="A1117" s="4" t="inlineStr">
        <is>
          <t>SERV-11113</t>
        </is>
      </c>
      <c r="B1117" s="5" t="inlineStr">
        <is>
          <t>Médico / Enfermeiro da Saúde da Família</t>
        </is>
      </c>
      <c r="C1117" s="4" t="inlineStr">
        <is>
          <t>Efetivo Concursado</t>
        </is>
      </c>
      <c r="D1117" s="4" t="inlineStr">
        <is>
          <t>SEC-SAU</t>
        </is>
      </c>
      <c r="E1117" s="6" t="n">
        <v>11962.6</v>
      </c>
      <c r="F1117" s="6">
        <f>E1117*0.22</f>
        <v/>
      </c>
      <c r="G1117" s="6">
        <f>E1117+F1117</f>
        <v/>
      </c>
      <c r="H1117" s="10" t="n">
        <v>3</v>
      </c>
      <c r="I1117" s="7">
        <f>H1117/(180*0.714)</f>
        <v/>
      </c>
    </row>
    <row r="1118">
      <c r="A1118" s="4" t="inlineStr">
        <is>
          <t>SERV-11114</t>
        </is>
      </c>
      <c r="B1118" s="5" t="inlineStr">
        <is>
          <t>Médico / Enfermeiro da Saúde da Família</t>
        </is>
      </c>
      <c r="C1118" s="4" t="inlineStr">
        <is>
          <t>Efetivo Concursado</t>
        </is>
      </c>
      <c r="D1118" s="4" t="inlineStr">
        <is>
          <t>SEC-SAU</t>
        </is>
      </c>
      <c r="E1118" s="6" t="n">
        <v>13975.04</v>
      </c>
      <c r="F1118" s="6">
        <f>E1118*0.22</f>
        <v/>
      </c>
      <c r="G1118" s="6">
        <f>E1118+F1118</f>
        <v/>
      </c>
      <c r="H1118" s="10" t="n">
        <v>3</v>
      </c>
      <c r="I1118" s="7">
        <f>H1118/(180*0.714)</f>
        <v/>
      </c>
    </row>
    <row r="1119">
      <c r="A1119" s="4" t="inlineStr">
        <is>
          <t>SERV-11115</t>
        </is>
      </c>
      <c r="B1119" s="5" t="inlineStr">
        <is>
          <t>Médico / Enfermeiro da Saúde da Família</t>
        </is>
      </c>
      <c r="C1119" s="4" t="inlineStr">
        <is>
          <t>Efetivo Concursado</t>
        </is>
      </c>
      <c r="D1119" s="4" t="inlineStr">
        <is>
          <t>SEC-SAU</t>
        </is>
      </c>
      <c r="E1119" s="6" t="n">
        <v>13775.75</v>
      </c>
      <c r="F1119" s="6">
        <f>E1119*0.22</f>
        <v/>
      </c>
      <c r="G1119" s="6">
        <f>E1119+F1119</f>
        <v/>
      </c>
      <c r="H1119" s="10" t="n">
        <v>3</v>
      </c>
      <c r="I1119" s="7">
        <f>H1119/(180*0.714)</f>
        <v/>
      </c>
    </row>
    <row r="1120">
      <c r="A1120" s="4" t="inlineStr">
        <is>
          <t>SERV-11116</t>
        </is>
      </c>
      <c r="B1120" s="5" t="inlineStr">
        <is>
          <t>Médico / Enfermeiro da Saúde da Família</t>
        </is>
      </c>
      <c r="C1120" s="4" t="inlineStr">
        <is>
          <t>Efetivo Concursado</t>
        </is>
      </c>
      <c r="D1120" s="4" t="inlineStr">
        <is>
          <t>SEC-SAU</t>
        </is>
      </c>
      <c r="E1120" s="6" t="n">
        <v>14131.66</v>
      </c>
      <c r="F1120" s="6">
        <f>E1120*0.22</f>
        <v/>
      </c>
      <c r="G1120" s="6">
        <f>E1120+F1120</f>
        <v/>
      </c>
      <c r="H1120" s="10" t="n">
        <v>4</v>
      </c>
      <c r="I1120" s="7">
        <f>H1120/(180*0.714)</f>
        <v/>
      </c>
    </row>
    <row r="1121">
      <c r="A1121" s="4" t="inlineStr">
        <is>
          <t>SERV-11117</t>
        </is>
      </c>
      <c r="B1121" s="5" t="inlineStr">
        <is>
          <t>Médico / Enfermeiro da Saúde da Família</t>
        </is>
      </c>
      <c r="C1121" s="4" t="inlineStr">
        <is>
          <t>Efetivo Concursado</t>
        </is>
      </c>
      <c r="D1121" s="4" t="inlineStr">
        <is>
          <t>SEC-SAU</t>
        </is>
      </c>
      <c r="E1121" s="6" t="n">
        <v>13559.35</v>
      </c>
      <c r="F1121" s="6">
        <f>E1121*0.22</f>
        <v/>
      </c>
      <c r="G1121" s="6">
        <f>E1121+F1121</f>
        <v/>
      </c>
      <c r="H1121" s="10" t="n">
        <v>1</v>
      </c>
      <c r="I1121" s="7">
        <f>H1121/(180*0.714)</f>
        <v/>
      </c>
    </row>
    <row r="1122">
      <c r="A1122" s="4" t="inlineStr">
        <is>
          <t>SERV-11118</t>
        </is>
      </c>
      <c r="B1122" s="5" t="inlineStr">
        <is>
          <t>Médico / Enfermeiro da Saúde da Família</t>
        </is>
      </c>
      <c r="C1122" s="4" t="inlineStr">
        <is>
          <t>Efetivo Concursado</t>
        </is>
      </c>
      <c r="D1122" s="4" t="inlineStr">
        <is>
          <t>SEC-SAU</t>
        </is>
      </c>
      <c r="E1122" s="6" t="n">
        <v>13697.92</v>
      </c>
      <c r="F1122" s="6">
        <f>E1122*0.22</f>
        <v/>
      </c>
      <c r="G1122" s="6">
        <f>E1122+F1122</f>
        <v/>
      </c>
      <c r="H1122" s="10" t="n">
        <v>4</v>
      </c>
      <c r="I1122" s="7">
        <f>H1122/(180*0.714)</f>
        <v/>
      </c>
    </row>
    <row r="1123">
      <c r="A1123" s="4" t="inlineStr">
        <is>
          <t>SERV-11119</t>
        </is>
      </c>
      <c r="B1123" s="5" t="inlineStr">
        <is>
          <t>Médico / Enfermeiro da Saúde da Família</t>
        </is>
      </c>
      <c r="C1123" s="4" t="inlineStr">
        <is>
          <t>Efetivo Concursado</t>
        </is>
      </c>
      <c r="D1123" s="4" t="inlineStr">
        <is>
          <t>SEC-SAU</t>
        </is>
      </c>
      <c r="E1123" s="6" t="n">
        <v>13327.63</v>
      </c>
      <c r="F1123" s="6">
        <f>E1123*0.22</f>
        <v/>
      </c>
      <c r="G1123" s="6">
        <f>E1123+F1123</f>
        <v/>
      </c>
      <c r="H1123" s="10" t="n">
        <v>5</v>
      </c>
      <c r="I1123" s="7">
        <f>H1123/(180*0.714)</f>
        <v/>
      </c>
    </row>
    <row r="1124">
      <c r="A1124" s="4" t="inlineStr">
        <is>
          <t>SERV-11120</t>
        </is>
      </c>
      <c r="B1124" s="5" t="inlineStr">
        <is>
          <t>Médico / Enfermeiro da Saúde da Família</t>
        </is>
      </c>
      <c r="C1124" s="4" t="inlineStr">
        <is>
          <t>Efetivo Concursado</t>
        </is>
      </c>
      <c r="D1124" s="4" t="inlineStr">
        <is>
          <t>SEC-SAU</t>
        </is>
      </c>
      <c r="E1124" s="6" t="n">
        <v>12917.76</v>
      </c>
      <c r="F1124" s="6">
        <f>E1124*0.22</f>
        <v/>
      </c>
      <c r="G1124" s="6">
        <f>E1124+F1124</f>
        <v/>
      </c>
      <c r="H1124" s="10" t="n">
        <v>5</v>
      </c>
      <c r="I1124" s="7">
        <f>H1124/(180*0.714)</f>
        <v/>
      </c>
    </row>
    <row r="1125">
      <c r="A1125" s="4" t="inlineStr">
        <is>
          <t>SERV-11121</t>
        </is>
      </c>
      <c r="B1125" s="5" t="inlineStr">
        <is>
          <t>Médico / Enfermeiro da Saúde da Família</t>
        </is>
      </c>
      <c r="C1125" s="4" t="inlineStr">
        <is>
          <t>Efetivo Concursado</t>
        </is>
      </c>
      <c r="D1125" s="4" t="inlineStr">
        <is>
          <t>SEC-SAU</t>
        </is>
      </c>
      <c r="E1125" s="6" t="n">
        <v>13949</v>
      </c>
      <c r="F1125" s="6">
        <f>E1125*0.22</f>
        <v/>
      </c>
      <c r="G1125" s="6">
        <f>E1125+F1125</f>
        <v/>
      </c>
      <c r="H1125" s="10" t="n">
        <v>3</v>
      </c>
      <c r="I1125" s="7">
        <f>H1125/(180*0.714)</f>
        <v/>
      </c>
    </row>
    <row r="1126">
      <c r="A1126" s="4" t="inlineStr">
        <is>
          <t>SERV-11122</t>
        </is>
      </c>
      <c r="B1126" s="5" t="inlineStr">
        <is>
          <t>Médico / Enfermeiro da Saúde da Família</t>
        </is>
      </c>
      <c r="C1126" s="4" t="inlineStr">
        <is>
          <t>Efetivo Concursado</t>
        </is>
      </c>
      <c r="D1126" s="4" t="inlineStr">
        <is>
          <t>SEC-SAU</t>
        </is>
      </c>
      <c r="E1126" s="6" t="n">
        <v>11805.91</v>
      </c>
      <c r="F1126" s="6">
        <f>E1126*0.22</f>
        <v/>
      </c>
      <c r="G1126" s="6">
        <f>E1126+F1126</f>
        <v/>
      </c>
      <c r="H1126" s="10" t="n">
        <v>1</v>
      </c>
      <c r="I1126" s="7">
        <f>H1126/(180*0.714)</f>
        <v/>
      </c>
    </row>
    <row r="1127">
      <c r="A1127" s="4" t="inlineStr">
        <is>
          <t>SERV-11123</t>
        </is>
      </c>
      <c r="B1127" s="5" t="inlineStr">
        <is>
          <t>Médico / Enfermeiro da Saúde da Família</t>
        </is>
      </c>
      <c r="C1127" s="4" t="inlineStr">
        <is>
          <t>Efetivo Concursado</t>
        </is>
      </c>
      <c r="D1127" s="4" t="inlineStr">
        <is>
          <t>SEC-SAU</t>
        </is>
      </c>
      <c r="E1127" s="6" t="n">
        <v>14144.12</v>
      </c>
      <c r="F1127" s="6">
        <f>E1127*0.22</f>
        <v/>
      </c>
      <c r="G1127" s="6">
        <f>E1127+F1127</f>
        <v/>
      </c>
      <c r="H1127" s="10" t="n">
        <v>1</v>
      </c>
      <c r="I1127" s="7">
        <f>H1127/(180*0.714)</f>
        <v/>
      </c>
    </row>
    <row r="1128">
      <c r="A1128" s="4" t="inlineStr">
        <is>
          <t>SERV-11124</t>
        </is>
      </c>
      <c r="B1128" s="5" t="inlineStr">
        <is>
          <t>Médico / Enfermeiro da Saúde da Família</t>
        </is>
      </c>
      <c r="C1128" s="4" t="inlineStr">
        <is>
          <t>Efetivo Concursado</t>
        </is>
      </c>
      <c r="D1128" s="4" t="inlineStr">
        <is>
          <t>SEC-SAU</t>
        </is>
      </c>
      <c r="E1128" s="6" t="n">
        <v>13569.33</v>
      </c>
      <c r="F1128" s="6">
        <f>E1128*0.22</f>
        <v/>
      </c>
      <c r="G1128" s="6">
        <f>E1128+F1128</f>
        <v/>
      </c>
      <c r="H1128" s="10" t="n">
        <v>1</v>
      </c>
      <c r="I1128" s="7">
        <f>H1128/(180*0.714)</f>
        <v/>
      </c>
    </row>
    <row r="1129">
      <c r="A1129" s="4" t="inlineStr">
        <is>
          <t>SERV-11125</t>
        </is>
      </c>
      <c r="B1129" s="5" t="inlineStr">
        <is>
          <t>Médico / Enfermeiro da Saúde da Família</t>
        </is>
      </c>
      <c r="C1129" s="4" t="inlineStr">
        <is>
          <t>Efetivo Concursado</t>
        </is>
      </c>
      <c r="D1129" s="4" t="inlineStr">
        <is>
          <t>SEC-SAU</t>
        </is>
      </c>
      <c r="E1129" s="6" t="n">
        <v>11889.26</v>
      </c>
      <c r="F1129" s="6">
        <f>E1129*0.22</f>
        <v/>
      </c>
      <c r="G1129" s="6">
        <f>E1129+F1129</f>
        <v/>
      </c>
      <c r="H1129" s="10" t="n">
        <v>3</v>
      </c>
      <c r="I1129" s="7">
        <f>H1129/(180*0.714)</f>
        <v/>
      </c>
    </row>
    <row r="1130">
      <c r="A1130" s="4" t="inlineStr">
        <is>
          <t>SERV-11126</t>
        </is>
      </c>
      <c r="B1130" s="5" t="inlineStr">
        <is>
          <t>Médico / Enfermeiro da Saúde da Família</t>
        </is>
      </c>
      <c r="C1130" s="4" t="inlineStr">
        <is>
          <t>Efetivo Concursado</t>
        </is>
      </c>
      <c r="D1130" s="4" t="inlineStr">
        <is>
          <t>SEC-SAU</t>
        </is>
      </c>
      <c r="E1130" s="6" t="n">
        <v>13478.05</v>
      </c>
      <c r="F1130" s="6">
        <f>E1130*0.22</f>
        <v/>
      </c>
      <c r="G1130" s="6">
        <f>E1130+F1130</f>
        <v/>
      </c>
      <c r="H1130" s="10" t="n">
        <v>1</v>
      </c>
      <c r="I1130" s="7">
        <f>H1130/(180*0.714)</f>
        <v/>
      </c>
    </row>
    <row r="1131">
      <c r="A1131" s="4" t="inlineStr">
        <is>
          <t>SERV-11127</t>
        </is>
      </c>
      <c r="B1131" s="5" t="inlineStr">
        <is>
          <t>Médico / Enfermeiro da Saúde da Família</t>
        </is>
      </c>
      <c r="C1131" s="4" t="inlineStr">
        <is>
          <t>Efetivo Concursado</t>
        </is>
      </c>
      <c r="D1131" s="4" t="inlineStr">
        <is>
          <t>SEC-SAU</t>
        </is>
      </c>
      <c r="E1131" s="6" t="n">
        <v>13684.57</v>
      </c>
      <c r="F1131" s="6">
        <f>E1131*0.22</f>
        <v/>
      </c>
      <c r="G1131" s="6">
        <f>E1131+F1131</f>
        <v/>
      </c>
      <c r="H1131" s="10" t="n">
        <v>1</v>
      </c>
      <c r="I1131" s="7">
        <f>H1131/(180*0.714)</f>
        <v/>
      </c>
    </row>
    <row r="1132">
      <c r="A1132" s="4" t="inlineStr">
        <is>
          <t>SERV-11128</t>
        </is>
      </c>
      <c r="B1132" s="5" t="inlineStr">
        <is>
          <t>Médico / Enfermeiro da Saúde da Família</t>
        </is>
      </c>
      <c r="C1132" s="4" t="inlineStr">
        <is>
          <t>Efetivo Concursado</t>
        </is>
      </c>
      <c r="D1132" s="4" t="inlineStr">
        <is>
          <t>SEC-SAU</t>
        </is>
      </c>
      <c r="E1132" s="6" t="n">
        <v>12454.02</v>
      </c>
      <c r="F1132" s="6">
        <f>E1132*0.22</f>
        <v/>
      </c>
      <c r="G1132" s="6">
        <f>E1132+F1132</f>
        <v/>
      </c>
      <c r="H1132" s="10" t="n">
        <v>3</v>
      </c>
      <c r="I1132" s="7">
        <f>H1132/(180*0.714)</f>
        <v/>
      </c>
    </row>
    <row r="1133">
      <c r="A1133" s="4" t="inlineStr">
        <is>
          <t>SERV-11129</t>
        </is>
      </c>
      <c r="B1133" s="5" t="inlineStr">
        <is>
          <t>Médico / Enfermeiro da Saúde da Família</t>
        </is>
      </c>
      <c r="C1133" s="4" t="inlineStr">
        <is>
          <t>Efetivo Concursado</t>
        </is>
      </c>
      <c r="D1133" s="4" t="inlineStr">
        <is>
          <t>SEC-SAU</t>
        </is>
      </c>
      <c r="E1133" s="6" t="n">
        <v>12835.08</v>
      </c>
      <c r="F1133" s="6">
        <f>E1133*0.22</f>
        <v/>
      </c>
      <c r="G1133" s="6">
        <f>E1133+F1133</f>
        <v/>
      </c>
      <c r="H1133" s="10" t="n">
        <v>3</v>
      </c>
      <c r="I1133" s="7">
        <f>H1133/(180*0.714)</f>
        <v/>
      </c>
    </row>
    <row r="1134">
      <c r="A1134" s="4" t="inlineStr">
        <is>
          <t>SERV-11130</t>
        </is>
      </c>
      <c r="B1134" s="5" t="inlineStr">
        <is>
          <t>Médico / Enfermeiro da Saúde da Família</t>
        </is>
      </c>
      <c r="C1134" s="4" t="inlineStr">
        <is>
          <t>Efetivo Concursado</t>
        </is>
      </c>
      <c r="D1134" s="4" t="inlineStr">
        <is>
          <t>SEC-SAU</t>
        </is>
      </c>
      <c r="E1134" s="6" t="n">
        <v>13263.26</v>
      </c>
      <c r="F1134" s="6">
        <f>E1134*0.22</f>
        <v/>
      </c>
      <c r="G1134" s="6">
        <f>E1134+F1134</f>
        <v/>
      </c>
      <c r="H1134" s="10" t="n">
        <v>5</v>
      </c>
      <c r="I1134" s="7">
        <f>H1134/(180*0.714)</f>
        <v/>
      </c>
    </row>
    <row r="1135">
      <c r="A1135" s="4" t="inlineStr">
        <is>
          <t>SERV-11131</t>
        </is>
      </c>
      <c r="B1135" s="5" t="inlineStr">
        <is>
          <t>Médico / Enfermeiro da Saúde da Família</t>
        </is>
      </c>
      <c r="C1135" s="4" t="inlineStr">
        <is>
          <t>Efetivo Concursado</t>
        </is>
      </c>
      <c r="D1135" s="4" t="inlineStr">
        <is>
          <t>SEC-SAU</t>
        </is>
      </c>
      <c r="E1135" s="6" t="n">
        <v>13168.19</v>
      </c>
      <c r="F1135" s="6">
        <f>E1135*0.22</f>
        <v/>
      </c>
      <c r="G1135" s="6">
        <f>E1135+F1135</f>
        <v/>
      </c>
      <c r="H1135" s="10" t="n">
        <v>5</v>
      </c>
      <c r="I1135" s="7">
        <f>H1135/(180*0.714)</f>
        <v/>
      </c>
    </row>
    <row r="1136">
      <c r="A1136" s="4" t="inlineStr">
        <is>
          <t>SERV-11132</t>
        </is>
      </c>
      <c r="B1136" s="5" t="inlineStr">
        <is>
          <t>Médico / Enfermeiro da Saúde da Família</t>
        </is>
      </c>
      <c r="C1136" s="4" t="inlineStr">
        <is>
          <t>Efetivo Concursado</t>
        </is>
      </c>
      <c r="D1136" s="4" t="inlineStr">
        <is>
          <t>SEC-SAU</t>
        </is>
      </c>
      <c r="E1136" s="6" t="n">
        <v>12948.66</v>
      </c>
      <c r="F1136" s="6">
        <f>E1136*0.22</f>
        <v/>
      </c>
      <c r="G1136" s="6">
        <f>E1136+F1136</f>
        <v/>
      </c>
      <c r="H1136" s="10" t="n">
        <v>1</v>
      </c>
      <c r="I1136" s="7">
        <f>H1136/(180*0.714)</f>
        <v/>
      </c>
    </row>
    <row r="1137">
      <c r="A1137" s="4" t="inlineStr">
        <is>
          <t>SERV-11133</t>
        </is>
      </c>
      <c r="B1137" s="5" t="inlineStr">
        <is>
          <t>Médico / Enfermeiro da Saúde da Família</t>
        </is>
      </c>
      <c r="C1137" s="4" t="inlineStr">
        <is>
          <t>Efetivo Concursado</t>
        </is>
      </c>
      <c r="D1137" s="4" t="inlineStr">
        <is>
          <t>SEC-SAU</t>
        </is>
      </c>
      <c r="E1137" s="6" t="n">
        <v>12311.13</v>
      </c>
      <c r="F1137" s="6">
        <f>E1137*0.22</f>
        <v/>
      </c>
      <c r="G1137" s="6">
        <f>E1137+F1137</f>
        <v/>
      </c>
      <c r="H1137" s="10" t="n">
        <v>1</v>
      </c>
      <c r="I1137" s="7">
        <f>H1137/(180*0.714)</f>
        <v/>
      </c>
    </row>
    <row r="1138">
      <c r="A1138" s="4" t="inlineStr">
        <is>
          <t>SERV-11134</t>
        </is>
      </c>
      <c r="B1138" s="5" t="inlineStr">
        <is>
          <t>Médico / Enfermeiro da Saúde da Família</t>
        </is>
      </c>
      <c r="C1138" s="4" t="inlineStr">
        <is>
          <t>Efetivo Concursado</t>
        </is>
      </c>
      <c r="D1138" s="4" t="inlineStr">
        <is>
          <t>SEC-SAU</t>
        </is>
      </c>
      <c r="E1138" s="6" t="n">
        <v>12596.83</v>
      </c>
      <c r="F1138" s="6">
        <f>E1138*0.22</f>
        <v/>
      </c>
      <c r="G1138" s="6">
        <f>E1138+F1138</f>
        <v/>
      </c>
      <c r="H1138" s="10" t="n">
        <v>3</v>
      </c>
      <c r="I1138" s="7">
        <f>H1138/(180*0.714)</f>
        <v/>
      </c>
    </row>
    <row r="1139">
      <c r="A1139" s="4" t="inlineStr">
        <is>
          <t>SERV-11135</t>
        </is>
      </c>
      <c r="B1139" s="5" t="inlineStr">
        <is>
          <t>Médico / Enfermeiro da Saúde da Família</t>
        </is>
      </c>
      <c r="C1139" s="4" t="inlineStr">
        <is>
          <t>Efetivo Concursado</t>
        </is>
      </c>
      <c r="D1139" s="4" t="inlineStr">
        <is>
          <t>SEC-SAU</t>
        </is>
      </c>
      <c r="E1139" s="6" t="n">
        <v>12142.97</v>
      </c>
      <c r="F1139" s="6">
        <f>E1139*0.22</f>
        <v/>
      </c>
      <c r="G1139" s="6">
        <f>E1139+F1139</f>
        <v/>
      </c>
      <c r="H1139" s="10" t="n">
        <v>5</v>
      </c>
      <c r="I1139" s="7">
        <f>H1139/(180*0.714)</f>
        <v/>
      </c>
    </row>
    <row r="1140">
      <c r="A1140" s="4" t="inlineStr">
        <is>
          <t>SERV-11136</t>
        </is>
      </c>
      <c r="B1140" s="5" t="inlineStr">
        <is>
          <t>Médico / Enfermeiro da Saúde da Família</t>
        </is>
      </c>
      <c r="C1140" s="4" t="inlineStr">
        <is>
          <t>Efetivo Concursado</t>
        </is>
      </c>
      <c r="D1140" s="4" t="inlineStr">
        <is>
          <t>SEC-SAU</t>
        </is>
      </c>
      <c r="E1140" s="6" t="n">
        <v>12260.29</v>
      </c>
      <c r="F1140" s="6">
        <f>E1140*0.22</f>
        <v/>
      </c>
      <c r="G1140" s="6">
        <f>E1140+F1140</f>
        <v/>
      </c>
      <c r="H1140" s="10" t="n">
        <v>1</v>
      </c>
      <c r="I1140" s="7">
        <f>H1140/(180*0.714)</f>
        <v/>
      </c>
    </row>
    <row r="1141">
      <c r="A1141" s="4" t="inlineStr">
        <is>
          <t>SERV-11137</t>
        </is>
      </c>
      <c r="B1141" s="5" t="inlineStr">
        <is>
          <t>Médico / Enfermeiro da Saúde da Família</t>
        </is>
      </c>
      <c r="C1141" s="4" t="inlineStr">
        <is>
          <t>Efetivo Concursado</t>
        </is>
      </c>
      <c r="D1141" s="4" t="inlineStr">
        <is>
          <t>SEC-SAU</t>
        </is>
      </c>
      <c r="E1141" s="6" t="n">
        <v>13246.89</v>
      </c>
      <c r="F1141" s="6">
        <f>E1141*0.22</f>
        <v/>
      </c>
      <c r="G1141" s="6">
        <f>E1141+F1141</f>
        <v/>
      </c>
      <c r="H1141" s="10" t="n">
        <v>5</v>
      </c>
      <c r="I1141" s="7">
        <f>H1141/(180*0.714)</f>
        <v/>
      </c>
    </row>
    <row r="1142">
      <c r="A1142" s="4" t="inlineStr">
        <is>
          <t>SERV-11138</t>
        </is>
      </c>
      <c r="B1142" s="5" t="inlineStr">
        <is>
          <t>Médico / Enfermeiro da Saúde da Família</t>
        </is>
      </c>
      <c r="C1142" s="4" t="inlineStr">
        <is>
          <t>Efetivo Concursado</t>
        </is>
      </c>
      <c r="D1142" s="4" t="inlineStr">
        <is>
          <t>SEC-SAU</t>
        </is>
      </c>
      <c r="E1142" s="6" t="n">
        <v>14257.4</v>
      </c>
      <c r="F1142" s="6">
        <f>E1142*0.22</f>
        <v/>
      </c>
      <c r="G1142" s="6">
        <f>E1142+F1142</f>
        <v/>
      </c>
      <c r="H1142" s="10" t="n">
        <v>4</v>
      </c>
      <c r="I1142" s="7">
        <f>H1142/(180*0.714)</f>
        <v/>
      </c>
    </row>
    <row r="1143">
      <c r="A1143" s="4" t="inlineStr">
        <is>
          <t>SERV-11139</t>
        </is>
      </c>
      <c r="B1143" s="5" t="inlineStr">
        <is>
          <t>Médico / Enfermeiro da Saúde da Família</t>
        </is>
      </c>
      <c r="C1143" s="4" t="inlineStr">
        <is>
          <t>Efetivo Concursado</t>
        </is>
      </c>
      <c r="D1143" s="4" t="inlineStr">
        <is>
          <t>SEC-SAU</t>
        </is>
      </c>
      <c r="E1143" s="6" t="n">
        <v>12917.36</v>
      </c>
      <c r="F1143" s="6">
        <f>E1143*0.22</f>
        <v/>
      </c>
      <c r="G1143" s="6">
        <f>E1143+F1143</f>
        <v/>
      </c>
      <c r="H1143" s="10" t="n">
        <v>1</v>
      </c>
      <c r="I1143" s="7">
        <f>H1143/(180*0.714)</f>
        <v/>
      </c>
    </row>
    <row r="1144">
      <c r="A1144" s="4" t="inlineStr">
        <is>
          <t>SERV-11140</t>
        </is>
      </c>
      <c r="B1144" s="5" t="inlineStr">
        <is>
          <t>Médico / Enfermeiro da Saúde da Família</t>
        </is>
      </c>
      <c r="C1144" s="4" t="inlineStr">
        <is>
          <t>Efetivo Concursado</t>
        </is>
      </c>
      <c r="D1144" s="4" t="inlineStr">
        <is>
          <t>SEC-SAU</t>
        </is>
      </c>
      <c r="E1144" s="6" t="n">
        <v>13454.16</v>
      </c>
      <c r="F1144" s="6">
        <f>E1144*0.22</f>
        <v/>
      </c>
      <c r="G1144" s="6">
        <f>E1144+F1144</f>
        <v/>
      </c>
      <c r="H1144" s="10" t="n">
        <v>5</v>
      </c>
      <c r="I1144" s="7">
        <f>H1144/(180*0.714)</f>
        <v/>
      </c>
    </row>
    <row r="1145">
      <c r="A1145" s="4" t="inlineStr">
        <is>
          <t>SERV-11141</t>
        </is>
      </c>
      <c r="B1145" s="5" t="inlineStr">
        <is>
          <t>Médico / Enfermeiro da Saúde da Família</t>
        </is>
      </c>
      <c r="C1145" s="4" t="inlineStr">
        <is>
          <t>Efetivo Concursado</t>
        </is>
      </c>
      <c r="D1145" s="4" t="inlineStr">
        <is>
          <t>SEC-SAU</t>
        </is>
      </c>
      <c r="E1145" s="6" t="n">
        <v>12877.36</v>
      </c>
      <c r="F1145" s="6">
        <f>E1145*0.22</f>
        <v/>
      </c>
      <c r="G1145" s="6">
        <f>E1145+F1145</f>
        <v/>
      </c>
      <c r="H1145" s="10" t="n">
        <v>2</v>
      </c>
      <c r="I1145" s="7">
        <f>H1145/(180*0.714)</f>
        <v/>
      </c>
    </row>
    <row r="1146">
      <c r="A1146" s="4" t="inlineStr">
        <is>
          <t>SERV-11142</t>
        </is>
      </c>
      <c r="B1146" s="5" t="inlineStr">
        <is>
          <t>Médico / Enfermeiro da Saúde da Família</t>
        </is>
      </c>
      <c r="C1146" s="4" t="inlineStr">
        <is>
          <t>Efetivo Concursado</t>
        </is>
      </c>
      <c r="D1146" s="4" t="inlineStr">
        <is>
          <t>SEC-SAU</t>
        </is>
      </c>
      <c r="E1146" s="6" t="n">
        <v>14010.61</v>
      </c>
      <c r="F1146" s="6">
        <f>E1146*0.22</f>
        <v/>
      </c>
      <c r="G1146" s="6">
        <f>E1146+F1146</f>
        <v/>
      </c>
      <c r="H1146" s="10" t="n">
        <v>1</v>
      </c>
      <c r="I1146" s="7">
        <f>H1146/(180*0.714)</f>
        <v/>
      </c>
    </row>
    <row r="1147">
      <c r="A1147" s="4" t="inlineStr">
        <is>
          <t>SERV-11143</t>
        </is>
      </c>
      <c r="B1147" s="5" t="inlineStr">
        <is>
          <t>Médico / Enfermeiro da Saúde da Família</t>
        </is>
      </c>
      <c r="C1147" s="4" t="inlineStr">
        <is>
          <t>Efetivo Concursado</t>
        </is>
      </c>
      <c r="D1147" s="4" t="inlineStr">
        <is>
          <t>SEC-SAU</t>
        </is>
      </c>
      <c r="E1147" s="6" t="n">
        <v>11816.78</v>
      </c>
      <c r="F1147" s="6">
        <f>E1147*0.22</f>
        <v/>
      </c>
      <c r="G1147" s="6">
        <f>E1147+F1147</f>
        <v/>
      </c>
      <c r="H1147" s="10" t="n">
        <v>1</v>
      </c>
      <c r="I1147" s="7">
        <f>H1147/(180*0.714)</f>
        <v/>
      </c>
    </row>
    <row r="1148">
      <c r="A1148" s="4" t="inlineStr">
        <is>
          <t>SERV-11144</t>
        </is>
      </c>
      <c r="B1148" s="5" t="inlineStr">
        <is>
          <t>Médico / Enfermeiro da Saúde da Família</t>
        </is>
      </c>
      <c r="C1148" s="4" t="inlineStr">
        <is>
          <t>Efetivo Concursado</t>
        </is>
      </c>
      <c r="D1148" s="4" t="inlineStr">
        <is>
          <t>SEC-SAU</t>
        </is>
      </c>
      <c r="E1148" s="6" t="n">
        <v>13141.66</v>
      </c>
      <c r="F1148" s="6">
        <f>E1148*0.22</f>
        <v/>
      </c>
      <c r="G1148" s="6">
        <f>E1148+F1148</f>
        <v/>
      </c>
      <c r="H1148" s="10" t="n">
        <v>5</v>
      </c>
      <c r="I1148" s="7">
        <f>H1148/(180*0.714)</f>
        <v/>
      </c>
    </row>
    <row r="1149">
      <c r="A1149" s="4" t="inlineStr">
        <is>
          <t>SERV-11145</t>
        </is>
      </c>
      <c r="B1149" s="5" t="inlineStr">
        <is>
          <t>Médico / Enfermeiro da Saúde da Família</t>
        </is>
      </c>
      <c r="C1149" s="4" t="inlineStr">
        <is>
          <t>Efetivo Concursado</t>
        </is>
      </c>
      <c r="D1149" s="4" t="inlineStr">
        <is>
          <t>SEC-SAU</t>
        </is>
      </c>
      <c r="E1149" s="6" t="n">
        <v>13328.79</v>
      </c>
      <c r="F1149" s="6">
        <f>E1149*0.22</f>
        <v/>
      </c>
      <c r="G1149" s="6">
        <f>E1149+F1149</f>
        <v/>
      </c>
      <c r="H1149" s="10" t="n">
        <v>3</v>
      </c>
      <c r="I1149" s="7">
        <f>H1149/(180*0.714)</f>
        <v/>
      </c>
    </row>
    <row r="1150">
      <c r="A1150" s="4" t="inlineStr">
        <is>
          <t>SERV-11146</t>
        </is>
      </c>
      <c r="B1150" s="5" t="inlineStr">
        <is>
          <t>Médico / Enfermeiro da Saúde da Família</t>
        </is>
      </c>
      <c r="C1150" s="4" t="inlineStr">
        <is>
          <t>Efetivo Concursado</t>
        </is>
      </c>
      <c r="D1150" s="4" t="inlineStr">
        <is>
          <t>SEC-SAU</t>
        </is>
      </c>
      <c r="E1150" s="6" t="n">
        <v>13967.16</v>
      </c>
      <c r="F1150" s="6">
        <f>E1150*0.22</f>
        <v/>
      </c>
      <c r="G1150" s="6">
        <f>E1150+F1150</f>
        <v/>
      </c>
      <c r="H1150" s="10" t="n">
        <v>4</v>
      </c>
      <c r="I1150" s="7">
        <f>H1150/(180*0.714)</f>
        <v/>
      </c>
    </row>
    <row r="1151">
      <c r="A1151" s="4" t="inlineStr">
        <is>
          <t>SERV-11147</t>
        </is>
      </c>
      <c r="B1151" s="5" t="inlineStr">
        <is>
          <t>Médico / Enfermeiro da Saúde da Família</t>
        </is>
      </c>
      <c r="C1151" s="4" t="inlineStr">
        <is>
          <t>Efetivo Concursado</t>
        </is>
      </c>
      <c r="D1151" s="4" t="inlineStr">
        <is>
          <t>SEC-SAU</t>
        </is>
      </c>
      <c r="E1151" s="6" t="n">
        <v>12858.84</v>
      </c>
      <c r="F1151" s="6">
        <f>E1151*0.22</f>
        <v/>
      </c>
      <c r="G1151" s="6">
        <f>E1151+F1151</f>
        <v/>
      </c>
      <c r="H1151" s="10" t="n">
        <v>3</v>
      </c>
      <c r="I1151" s="7">
        <f>H1151/(180*0.714)</f>
        <v/>
      </c>
    </row>
    <row r="1152">
      <c r="A1152" s="4" t="inlineStr">
        <is>
          <t>SERV-11148</t>
        </is>
      </c>
      <c r="B1152" s="5" t="inlineStr">
        <is>
          <t>Médico / Enfermeiro da Saúde da Família</t>
        </is>
      </c>
      <c r="C1152" s="4" t="inlineStr">
        <is>
          <t>Efetivo Concursado</t>
        </is>
      </c>
      <c r="D1152" s="4" t="inlineStr">
        <is>
          <t>SEC-SAU</t>
        </is>
      </c>
      <c r="E1152" s="6" t="n">
        <v>13736.69</v>
      </c>
      <c r="F1152" s="6">
        <f>E1152*0.22</f>
        <v/>
      </c>
      <c r="G1152" s="6">
        <f>E1152+F1152</f>
        <v/>
      </c>
      <c r="H1152" s="10" t="n">
        <v>5</v>
      </c>
      <c r="I1152" s="7">
        <f>H1152/(180*0.714)</f>
        <v/>
      </c>
    </row>
    <row r="1153">
      <c r="A1153" s="4" t="inlineStr">
        <is>
          <t>SERV-11149</t>
        </is>
      </c>
      <c r="B1153" s="5" t="inlineStr">
        <is>
          <t>Médico / Enfermeiro da Saúde da Família</t>
        </is>
      </c>
      <c r="C1153" s="4" t="inlineStr">
        <is>
          <t>Efetivo Concursado</t>
        </is>
      </c>
      <c r="D1153" s="4" t="inlineStr">
        <is>
          <t>SEC-SAU</t>
        </is>
      </c>
      <c r="E1153" s="6" t="n">
        <v>12692.11</v>
      </c>
      <c r="F1153" s="6">
        <f>E1153*0.22</f>
        <v/>
      </c>
      <c r="G1153" s="6">
        <f>E1153+F1153</f>
        <v/>
      </c>
      <c r="H1153" s="10" t="n">
        <v>3</v>
      </c>
      <c r="I1153" s="7">
        <f>H1153/(180*0.714)</f>
        <v/>
      </c>
    </row>
    <row r="1154">
      <c r="A1154" s="4" t="inlineStr">
        <is>
          <t>SERV-11150</t>
        </is>
      </c>
      <c r="B1154" s="5" t="inlineStr">
        <is>
          <t>Médico / Enfermeiro da Saúde da Família</t>
        </is>
      </c>
      <c r="C1154" s="4" t="inlineStr">
        <is>
          <t>Efetivo Concursado</t>
        </is>
      </c>
      <c r="D1154" s="4" t="inlineStr">
        <is>
          <t>SEC-SAU</t>
        </is>
      </c>
      <c r="E1154" s="6" t="n">
        <v>13019.42</v>
      </c>
      <c r="F1154" s="6">
        <f>E1154*0.22</f>
        <v/>
      </c>
      <c r="G1154" s="6">
        <f>E1154+F1154</f>
        <v/>
      </c>
      <c r="H1154" s="10" t="n">
        <v>3</v>
      </c>
      <c r="I1154" s="7">
        <f>H1154/(180*0.714)</f>
        <v/>
      </c>
    </row>
    <row r="1155">
      <c r="A1155" s="4" t="inlineStr">
        <is>
          <t>SERV-11151</t>
        </is>
      </c>
      <c r="B1155" s="5" t="inlineStr">
        <is>
          <t>Médico / Enfermeiro da Saúde da Família</t>
        </is>
      </c>
      <c r="C1155" s="4" t="inlineStr">
        <is>
          <t>Efetivo Concursado</t>
        </is>
      </c>
      <c r="D1155" s="4" t="inlineStr">
        <is>
          <t>SEC-SAU</t>
        </is>
      </c>
      <c r="E1155" s="6" t="n">
        <v>12229.74</v>
      </c>
      <c r="F1155" s="6">
        <f>E1155*0.22</f>
        <v/>
      </c>
      <c r="G1155" s="6">
        <f>E1155+F1155</f>
        <v/>
      </c>
      <c r="H1155" s="10" t="n">
        <v>5</v>
      </c>
      <c r="I1155" s="7">
        <f>H1155/(180*0.714)</f>
        <v/>
      </c>
    </row>
    <row r="1156">
      <c r="A1156" s="4" t="inlineStr">
        <is>
          <t>SERV-11152</t>
        </is>
      </c>
      <c r="B1156" s="5" t="inlineStr">
        <is>
          <t>Médico / Enfermeiro da Saúde da Família</t>
        </is>
      </c>
      <c r="C1156" s="4" t="inlineStr">
        <is>
          <t>Efetivo Concursado</t>
        </is>
      </c>
      <c r="D1156" s="4" t="inlineStr">
        <is>
          <t>SEC-SAU</t>
        </is>
      </c>
      <c r="E1156" s="6" t="n">
        <v>11958.47</v>
      </c>
      <c r="F1156" s="6">
        <f>E1156*0.22</f>
        <v/>
      </c>
      <c r="G1156" s="6">
        <f>E1156+F1156</f>
        <v/>
      </c>
      <c r="H1156" s="10" t="n">
        <v>1</v>
      </c>
      <c r="I1156" s="7">
        <f>H1156/(180*0.714)</f>
        <v/>
      </c>
    </row>
    <row r="1157">
      <c r="A1157" s="4" t="inlineStr">
        <is>
          <t>SERV-11153</t>
        </is>
      </c>
      <c r="B1157" s="5" t="inlineStr">
        <is>
          <t>Médico / Enfermeiro da Saúde da Família</t>
        </is>
      </c>
      <c r="C1157" s="4" t="inlineStr">
        <is>
          <t>Efetivo Concursado</t>
        </is>
      </c>
      <c r="D1157" s="4" t="inlineStr">
        <is>
          <t>SEC-SAU</t>
        </is>
      </c>
      <c r="E1157" s="6" t="n">
        <v>13906.54</v>
      </c>
      <c r="F1157" s="6">
        <f>E1157*0.22</f>
        <v/>
      </c>
      <c r="G1157" s="6">
        <f>E1157+F1157</f>
        <v/>
      </c>
      <c r="H1157" s="10" t="n">
        <v>1</v>
      </c>
      <c r="I1157" s="7">
        <f>H1157/(180*0.714)</f>
        <v/>
      </c>
    </row>
    <row r="1158">
      <c r="A1158" s="4" t="inlineStr">
        <is>
          <t>SERV-11154</t>
        </is>
      </c>
      <c r="B1158" s="5" t="inlineStr">
        <is>
          <t>Médico / Enfermeiro da Saúde da Família</t>
        </is>
      </c>
      <c r="C1158" s="4" t="inlineStr">
        <is>
          <t>Efetivo Concursado</t>
        </is>
      </c>
      <c r="D1158" s="4" t="inlineStr">
        <is>
          <t>SEC-SAU</t>
        </is>
      </c>
      <c r="E1158" s="6" t="n">
        <v>14285.63</v>
      </c>
      <c r="F1158" s="6">
        <f>E1158*0.22</f>
        <v/>
      </c>
      <c r="G1158" s="6">
        <f>E1158+F1158</f>
        <v/>
      </c>
      <c r="H1158" s="10" t="n">
        <v>3</v>
      </c>
      <c r="I1158" s="7">
        <f>H1158/(180*0.714)</f>
        <v/>
      </c>
    </row>
    <row r="1159">
      <c r="A1159" s="4" t="inlineStr">
        <is>
          <t>SERV-11155</t>
        </is>
      </c>
      <c r="B1159" s="5" t="inlineStr">
        <is>
          <t>Médico / Enfermeiro da Saúde da Família</t>
        </is>
      </c>
      <c r="C1159" s="4" t="inlineStr">
        <is>
          <t>Efetivo Concursado</t>
        </is>
      </c>
      <c r="D1159" s="4" t="inlineStr">
        <is>
          <t>SEC-SAU</t>
        </is>
      </c>
      <c r="E1159" s="6" t="n">
        <v>12137.99</v>
      </c>
      <c r="F1159" s="6">
        <f>E1159*0.22</f>
        <v/>
      </c>
      <c r="G1159" s="6">
        <f>E1159+F1159</f>
        <v/>
      </c>
      <c r="H1159" s="10" t="n">
        <v>4</v>
      </c>
      <c r="I1159" s="7">
        <f>H1159/(180*0.714)</f>
        <v/>
      </c>
    </row>
    <row r="1160">
      <c r="A1160" s="4" t="inlineStr">
        <is>
          <t>SERV-11156</t>
        </is>
      </c>
      <c r="B1160" s="5" t="inlineStr">
        <is>
          <t>Médico / Enfermeiro da Saúde da Família</t>
        </is>
      </c>
      <c r="C1160" s="4" t="inlineStr">
        <is>
          <t>Efetivo Concursado</t>
        </is>
      </c>
      <c r="D1160" s="4" t="inlineStr">
        <is>
          <t>SEC-SAU</t>
        </is>
      </c>
      <c r="E1160" s="6" t="n">
        <v>14103.59</v>
      </c>
      <c r="F1160" s="6">
        <f>E1160*0.22</f>
        <v/>
      </c>
      <c r="G1160" s="6">
        <f>E1160+F1160</f>
        <v/>
      </c>
      <c r="H1160" s="10" t="n">
        <v>3</v>
      </c>
      <c r="I1160" s="7">
        <f>H1160/(180*0.714)</f>
        <v/>
      </c>
    </row>
    <row r="1161">
      <c r="A1161" s="4" t="inlineStr">
        <is>
          <t>SERV-11157</t>
        </is>
      </c>
      <c r="B1161" s="5" t="inlineStr">
        <is>
          <t>Médico / Enfermeiro da Saúde da Família</t>
        </is>
      </c>
      <c r="C1161" s="4" t="inlineStr">
        <is>
          <t>Efetivo Concursado</t>
        </is>
      </c>
      <c r="D1161" s="4" t="inlineStr">
        <is>
          <t>SEC-SAU</t>
        </is>
      </c>
      <c r="E1161" s="6" t="n">
        <v>12885.89</v>
      </c>
      <c r="F1161" s="6">
        <f>E1161*0.22</f>
        <v/>
      </c>
      <c r="G1161" s="6">
        <f>E1161+F1161</f>
        <v/>
      </c>
      <c r="H1161" s="10" t="n">
        <v>2</v>
      </c>
      <c r="I1161" s="7">
        <f>H1161/(180*0.714)</f>
        <v/>
      </c>
    </row>
    <row r="1162">
      <c r="A1162" s="4" t="inlineStr">
        <is>
          <t>SERV-11158</t>
        </is>
      </c>
      <c r="B1162" s="5" t="inlineStr">
        <is>
          <t>Médico / Enfermeiro da Saúde da Família</t>
        </is>
      </c>
      <c r="C1162" s="4" t="inlineStr">
        <is>
          <t>Efetivo Concursado</t>
        </is>
      </c>
      <c r="D1162" s="4" t="inlineStr">
        <is>
          <t>SEC-SAU</t>
        </is>
      </c>
      <c r="E1162" s="6" t="n">
        <v>13767.57</v>
      </c>
      <c r="F1162" s="6">
        <f>E1162*0.22</f>
        <v/>
      </c>
      <c r="G1162" s="6">
        <f>E1162+F1162</f>
        <v/>
      </c>
      <c r="H1162" s="10" t="n">
        <v>2</v>
      </c>
      <c r="I1162" s="7">
        <f>H1162/(180*0.714)</f>
        <v/>
      </c>
    </row>
    <row r="1163">
      <c r="A1163" s="4" t="inlineStr">
        <is>
          <t>SERV-11159</t>
        </is>
      </c>
      <c r="B1163" s="5" t="inlineStr">
        <is>
          <t>Médico / Enfermeiro da Saúde da Família</t>
        </is>
      </c>
      <c r="C1163" s="4" t="inlineStr">
        <is>
          <t>Efetivo Concursado</t>
        </is>
      </c>
      <c r="D1163" s="4" t="inlineStr">
        <is>
          <t>SEC-SAU</t>
        </is>
      </c>
      <c r="E1163" s="6" t="n">
        <v>13911.98</v>
      </c>
      <c r="F1163" s="6">
        <f>E1163*0.22</f>
        <v/>
      </c>
      <c r="G1163" s="6">
        <f>E1163+F1163</f>
        <v/>
      </c>
      <c r="H1163" s="10" t="n">
        <v>4</v>
      </c>
      <c r="I1163" s="7">
        <f>H1163/(180*0.714)</f>
        <v/>
      </c>
    </row>
    <row r="1164">
      <c r="A1164" s="4" t="inlineStr">
        <is>
          <t>SERV-11160</t>
        </is>
      </c>
      <c r="B1164" s="5" t="inlineStr">
        <is>
          <t>Médico / Enfermeiro da Saúde da Família</t>
        </is>
      </c>
      <c r="C1164" s="4" t="inlineStr">
        <is>
          <t>Efetivo Concursado</t>
        </is>
      </c>
      <c r="D1164" s="4" t="inlineStr">
        <is>
          <t>SEC-SAU</t>
        </is>
      </c>
      <c r="E1164" s="6" t="n">
        <v>12633.55</v>
      </c>
      <c r="F1164" s="6">
        <f>E1164*0.22</f>
        <v/>
      </c>
      <c r="G1164" s="6">
        <f>E1164+F1164</f>
        <v/>
      </c>
      <c r="H1164" s="10" t="n">
        <v>5</v>
      </c>
      <c r="I1164" s="7">
        <f>H1164/(180*0.714)</f>
        <v/>
      </c>
    </row>
    <row r="1165">
      <c r="A1165" s="4" t="inlineStr">
        <is>
          <t>SERV-11161</t>
        </is>
      </c>
      <c r="B1165" s="5" t="inlineStr">
        <is>
          <t>Médico / Enfermeiro da Saúde da Família</t>
        </is>
      </c>
      <c r="C1165" s="4" t="inlineStr">
        <is>
          <t>Efetivo Concursado</t>
        </is>
      </c>
      <c r="D1165" s="4" t="inlineStr">
        <is>
          <t>SEC-SAU</t>
        </is>
      </c>
      <c r="E1165" s="6" t="n">
        <v>12637.28</v>
      </c>
      <c r="F1165" s="6">
        <f>E1165*0.22</f>
        <v/>
      </c>
      <c r="G1165" s="6">
        <f>E1165+F1165</f>
        <v/>
      </c>
      <c r="H1165" s="10" t="n">
        <v>1</v>
      </c>
      <c r="I1165" s="7">
        <f>H1165/(180*0.714)</f>
        <v/>
      </c>
    </row>
    <row r="1166">
      <c r="A1166" s="4" t="inlineStr">
        <is>
          <t>SERV-11162</t>
        </is>
      </c>
      <c r="B1166" s="5" t="inlineStr">
        <is>
          <t>Médico / Enfermeiro da Saúde da Família</t>
        </is>
      </c>
      <c r="C1166" s="4" t="inlineStr">
        <is>
          <t>Efetivo Concursado</t>
        </is>
      </c>
      <c r="D1166" s="4" t="inlineStr">
        <is>
          <t>SEC-SAU</t>
        </is>
      </c>
      <c r="E1166" s="6" t="n">
        <v>12186.56</v>
      </c>
      <c r="F1166" s="6">
        <f>E1166*0.22</f>
        <v/>
      </c>
      <c r="G1166" s="6">
        <f>E1166+F1166</f>
        <v/>
      </c>
      <c r="H1166" s="10" t="n">
        <v>2</v>
      </c>
      <c r="I1166" s="7">
        <f>H1166/(180*0.714)</f>
        <v/>
      </c>
    </row>
    <row r="1167">
      <c r="A1167" s="4" t="inlineStr">
        <is>
          <t>SERV-11163</t>
        </is>
      </c>
      <c r="B1167" s="5" t="inlineStr">
        <is>
          <t>Médico / Enfermeiro da Saúde da Família</t>
        </is>
      </c>
      <c r="C1167" s="4" t="inlineStr">
        <is>
          <t>Efetivo Concursado</t>
        </is>
      </c>
      <c r="D1167" s="4" t="inlineStr">
        <is>
          <t>SEC-SAU</t>
        </is>
      </c>
      <c r="E1167" s="6" t="n">
        <v>13260.31</v>
      </c>
      <c r="F1167" s="6">
        <f>E1167*0.22</f>
        <v/>
      </c>
      <c r="G1167" s="6">
        <f>E1167+F1167</f>
        <v/>
      </c>
      <c r="H1167" s="10" t="n">
        <v>3</v>
      </c>
      <c r="I1167" s="7">
        <f>H1167/(180*0.714)</f>
        <v/>
      </c>
    </row>
    <row r="1168">
      <c r="A1168" s="4" t="inlineStr">
        <is>
          <t>SERV-11164</t>
        </is>
      </c>
      <c r="B1168" s="5" t="inlineStr">
        <is>
          <t>Médico / Enfermeiro da Saúde da Família</t>
        </is>
      </c>
      <c r="C1168" s="4" t="inlineStr">
        <is>
          <t>Efetivo Concursado</t>
        </is>
      </c>
      <c r="D1168" s="4" t="inlineStr">
        <is>
          <t>SEC-SAU</t>
        </is>
      </c>
      <c r="E1168" s="6" t="n">
        <v>12454.96</v>
      </c>
      <c r="F1168" s="6">
        <f>E1168*0.22</f>
        <v/>
      </c>
      <c r="G1168" s="6">
        <f>E1168+F1168</f>
        <v/>
      </c>
      <c r="H1168" s="10" t="n">
        <v>4</v>
      </c>
      <c r="I1168" s="7">
        <f>H1168/(180*0.714)</f>
        <v/>
      </c>
    </row>
    <row r="1169">
      <c r="A1169" s="4" t="inlineStr">
        <is>
          <t>SERV-11165</t>
        </is>
      </c>
      <c r="B1169" s="5" t="inlineStr">
        <is>
          <t>Médico / Enfermeiro da Saúde da Família</t>
        </is>
      </c>
      <c r="C1169" s="4" t="inlineStr">
        <is>
          <t>Efetivo Concursado</t>
        </is>
      </c>
      <c r="D1169" s="4" t="inlineStr">
        <is>
          <t>SEC-SAU</t>
        </is>
      </c>
      <c r="E1169" s="6" t="n">
        <v>12544.85</v>
      </c>
      <c r="F1169" s="6">
        <f>E1169*0.22</f>
        <v/>
      </c>
      <c r="G1169" s="6">
        <f>E1169+F1169</f>
        <v/>
      </c>
      <c r="H1169" s="10" t="n">
        <v>1</v>
      </c>
      <c r="I1169" s="7">
        <f>H1169/(180*0.714)</f>
        <v/>
      </c>
    </row>
    <row r="1170">
      <c r="A1170" s="4" t="inlineStr">
        <is>
          <t>SERV-11166</t>
        </is>
      </c>
      <c r="B1170" s="5" t="inlineStr">
        <is>
          <t>Médico / Enfermeiro da Saúde da Família</t>
        </is>
      </c>
      <c r="C1170" s="4" t="inlineStr">
        <is>
          <t>Efetivo Concursado</t>
        </is>
      </c>
      <c r="D1170" s="4" t="inlineStr">
        <is>
          <t>SEC-SAU</t>
        </is>
      </c>
      <c r="E1170" s="6" t="n">
        <v>13563.08</v>
      </c>
      <c r="F1170" s="6">
        <f>E1170*0.22</f>
        <v/>
      </c>
      <c r="G1170" s="6">
        <f>E1170+F1170</f>
        <v/>
      </c>
      <c r="H1170" s="10" t="n">
        <v>1</v>
      </c>
      <c r="I1170" s="7">
        <f>H1170/(180*0.714)</f>
        <v/>
      </c>
    </row>
    <row r="1171">
      <c r="A1171" s="4" t="inlineStr">
        <is>
          <t>SERV-11167</t>
        </is>
      </c>
      <c r="B1171" s="5" t="inlineStr">
        <is>
          <t>Médico / Enfermeiro da Saúde da Família</t>
        </is>
      </c>
      <c r="C1171" s="4" t="inlineStr">
        <is>
          <t>Efetivo Concursado</t>
        </is>
      </c>
      <c r="D1171" s="4" t="inlineStr">
        <is>
          <t>SEC-SAU</t>
        </is>
      </c>
      <c r="E1171" s="6" t="n">
        <v>14293.22</v>
      </c>
      <c r="F1171" s="6">
        <f>E1171*0.22</f>
        <v/>
      </c>
      <c r="G1171" s="6">
        <f>E1171+F1171</f>
        <v/>
      </c>
      <c r="H1171" s="10" t="n">
        <v>2</v>
      </c>
      <c r="I1171" s="7">
        <f>H1171/(180*0.714)</f>
        <v/>
      </c>
    </row>
    <row r="1172">
      <c r="A1172" s="4" t="inlineStr">
        <is>
          <t>SERV-11168</t>
        </is>
      </c>
      <c r="B1172" s="5" t="inlineStr">
        <is>
          <t>Médico / Enfermeiro da Saúde da Família</t>
        </is>
      </c>
      <c r="C1172" s="4" t="inlineStr">
        <is>
          <t>Efetivo Concursado</t>
        </is>
      </c>
      <c r="D1172" s="4" t="inlineStr">
        <is>
          <t>SEC-SAU</t>
        </is>
      </c>
      <c r="E1172" s="6" t="n">
        <v>13363.02</v>
      </c>
      <c r="F1172" s="6">
        <f>E1172*0.22</f>
        <v/>
      </c>
      <c r="G1172" s="6">
        <f>E1172+F1172</f>
        <v/>
      </c>
      <c r="H1172" s="10" t="n">
        <v>4</v>
      </c>
      <c r="I1172" s="7">
        <f>H1172/(180*0.714)</f>
        <v/>
      </c>
    </row>
    <row r="1173">
      <c r="A1173" s="4" t="inlineStr">
        <is>
          <t>SERV-11169</t>
        </is>
      </c>
      <c r="B1173" s="5" t="inlineStr">
        <is>
          <t>Médico / Enfermeiro da Saúde da Família</t>
        </is>
      </c>
      <c r="C1173" s="4" t="inlineStr">
        <is>
          <t>Efetivo Concursado</t>
        </is>
      </c>
      <c r="D1173" s="4" t="inlineStr">
        <is>
          <t>SEC-SAU</t>
        </is>
      </c>
      <c r="E1173" s="6" t="n">
        <v>13346.69</v>
      </c>
      <c r="F1173" s="6">
        <f>E1173*0.22</f>
        <v/>
      </c>
      <c r="G1173" s="6">
        <f>E1173+F1173</f>
        <v/>
      </c>
      <c r="H1173" s="10" t="n">
        <v>1</v>
      </c>
      <c r="I1173" s="7">
        <f>H1173/(180*0.714)</f>
        <v/>
      </c>
    </row>
    <row r="1174">
      <c r="A1174" s="4" t="inlineStr">
        <is>
          <t>SERV-11170</t>
        </is>
      </c>
      <c r="B1174" s="5" t="inlineStr">
        <is>
          <t>Médico / Enfermeiro da Saúde da Família</t>
        </is>
      </c>
      <c r="C1174" s="4" t="inlineStr">
        <is>
          <t>Efetivo Concursado</t>
        </is>
      </c>
      <c r="D1174" s="4" t="inlineStr">
        <is>
          <t>SEC-SAU</t>
        </is>
      </c>
      <c r="E1174" s="6" t="n">
        <v>12849.26</v>
      </c>
      <c r="F1174" s="6">
        <f>E1174*0.22</f>
        <v/>
      </c>
      <c r="G1174" s="6">
        <f>E1174+F1174</f>
        <v/>
      </c>
      <c r="H1174" s="10" t="n">
        <v>2</v>
      </c>
      <c r="I1174" s="7">
        <f>H1174/(180*0.714)</f>
        <v/>
      </c>
    </row>
    <row r="1175">
      <c r="A1175" s="4" t="inlineStr">
        <is>
          <t>SERV-11171</t>
        </is>
      </c>
      <c r="B1175" s="5" t="inlineStr">
        <is>
          <t>Médico / Enfermeiro da Saúde da Família</t>
        </is>
      </c>
      <c r="C1175" s="4" t="inlineStr">
        <is>
          <t>Efetivo Concursado</t>
        </is>
      </c>
      <c r="D1175" s="4" t="inlineStr">
        <is>
          <t>SEC-SAU</t>
        </is>
      </c>
      <c r="E1175" s="6" t="n">
        <v>13311.64</v>
      </c>
      <c r="F1175" s="6">
        <f>E1175*0.22</f>
        <v/>
      </c>
      <c r="G1175" s="6">
        <f>E1175+F1175</f>
        <v/>
      </c>
      <c r="H1175" s="10" t="n">
        <v>1</v>
      </c>
      <c r="I1175" s="7">
        <f>H1175/(180*0.714)</f>
        <v/>
      </c>
    </row>
    <row r="1176">
      <c r="A1176" s="4" t="inlineStr">
        <is>
          <t>SERV-11172</t>
        </is>
      </c>
      <c r="B1176" s="5" t="inlineStr">
        <is>
          <t>Médico / Enfermeiro da Saúde da Família</t>
        </is>
      </c>
      <c r="C1176" s="4" t="inlineStr">
        <is>
          <t>Efetivo Concursado</t>
        </is>
      </c>
      <c r="D1176" s="4" t="inlineStr">
        <is>
          <t>SEC-SAU</t>
        </is>
      </c>
      <c r="E1176" s="6" t="n">
        <v>12644.98</v>
      </c>
      <c r="F1176" s="6">
        <f>E1176*0.22</f>
        <v/>
      </c>
      <c r="G1176" s="6">
        <f>E1176+F1176</f>
        <v/>
      </c>
      <c r="H1176" s="10" t="n">
        <v>5</v>
      </c>
      <c r="I1176" s="7">
        <f>H1176/(180*0.714)</f>
        <v/>
      </c>
    </row>
    <row r="1177">
      <c r="A1177" s="4" t="inlineStr">
        <is>
          <t>SERV-11173</t>
        </is>
      </c>
      <c r="B1177" s="5" t="inlineStr">
        <is>
          <t>Médico / Enfermeiro da Saúde da Família</t>
        </is>
      </c>
      <c r="C1177" s="4" t="inlineStr">
        <is>
          <t>Efetivo Concursado</t>
        </is>
      </c>
      <c r="D1177" s="4" t="inlineStr">
        <is>
          <t>SEC-SAU</t>
        </is>
      </c>
      <c r="E1177" s="6" t="n">
        <v>13443.74</v>
      </c>
      <c r="F1177" s="6">
        <f>E1177*0.22</f>
        <v/>
      </c>
      <c r="G1177" s="6">
        <f>E1177+F1177</f>
        <v/>
      </c>
      <c r="H1177" s="10" t="n">
        <v>5</v>
      </c>
      <c r="I1177" s="7">
        <f>H1177/(180*0.714)</f>
        <v/>
      </c>
    </row>
    <row r="1178">
      <c r="A1178" s="4" t="inlineStr">
        <is>
          <t>SERV-11174</t>
        </is>
      </c>
      <c r="B1178" s="5" t="inlineStr">
        <is>
          <t>Médico / Enfermeiro da Saúde da Família</t>
        </is>
      </c>
      <c r="C1178" s="4" t="inlineStr">
        <is>
          <t>Efetivo Concursado</t>
        </is>
      </c>
      <c r="D1178" s="4" t="inlineStr">
        <is>
          <t>SEC-SAU</t>
        </is>
      </c>
      <c r="E1178" s="6" t="n">
        <v>12794.05</v>
      </c>
      <c r="F1178" s="6">
        <f>E1178*0.22</f>
        <v/>
      </c>
      <c r="G1178" s="6">
        <f>E1178+F1178</f>
        <v/>
      </c>
      <c r="H1178" s="10" t="n">
        <v>1</v>
      </c>
      <c r="I1178" s="7">
        <f>H1178/(180*0.714)</f>
        <v/>
      </c>
    </row>
    <row r="1179">
      <c r="A1179" s="4" t="inlineStr">
        <is>
          <t>SERV-11175</t>
        </is>
      </c>
      <c r="B1179" s="5" t="inlineStr">
        <is>
          <t>Médico / Enfermeiro da Saúde da Família</t>
        </is>
      </c>
      <c r="C1179" s="4" t="inlineStr">
        <is>
          <t>Efetivo Concursado</t>
        </is>
      </c>
      <c r="D1179" s="4" t="inlineStr">
        <is>
          <t>SEC-SAU</t>
        </is>
      </c>
      <c r="E1179" s="6" t="n">
        <v>13588.03</v>
      </c>
      <c r="F1179" s="6">
        <f>E1179*0.22</f>
        <v/>
      </c>
      <c r="G1179" s="6">
        <f>E1179+F1179</f>
        <v/>
      </c>
      <c r="H1179" s="10" t="n">
        <v>4</v>
      </c>
      <c r="I1179" s="7">
        <f>H1179/(180*0.714)</f>
        <v/>
      </c>
    </row>
    <row r="1180">
      <c r="A1180" s="4" t="inlineStr">
        <is>
          <t>SERV-11176</t>
        </is>
      </c>
      <c r="B1180" s="5" t="inlineStr">
        <is>
          <t>Médico / Enfermeiro da Saúde da Família</t>
        </is>
      </c>
      <c r="C1180" s="4" t="inlineStr">
        <is>
          <t>Efetivo Concursado</t>
        </is>
      </c>
      <c r="D1180" s="4" t="inlineStr">
        <is>
          <t>SEC-SAU</t>
        </is>
      </c>
      <c r="E1180" s="6" t="n">
        <v>13159.39</v>
      </c>
      <c r="F1180" s="6">
        <f>E1180*0.22</f>
        <v/>
      </c>
      <c r="G1180" s="6">
        <f>E1180+F1180</f>
        <v/>
      </c>
      <c r="H1180" s="10" t="n">
        <v>2</v>
      </c>
      <c r="I1180" s="7">
        <f>H1180/(180*0.714)</f>
        <v/>
      </c>
    </row>
    <row r="1181">
      <c r="A1181" s="4" t="inlineStr">
        <is>
          <t>SERV-11177</t>
        </is>
      </c>
      <c r="B1181" s="5" t="inlineStr">
        <is>
          <t>Médico / Enfermeiro da Saúde da Família</t>
        </is>
      </c>
      <c r="C1181" s="4" t="inlineStr">
        <is>
          <t>Efetivo Concursado</t>
        </is>
      </c>
      <c r="D1181" s="4" t="inlineStr">
        <is>
          <t>SEC-SAU</t>
        </is>
      </c>
      <c r="E1181" s="6" t="n">
        <v>14172.92</v>
      </c>
      <c r="F1181" s="6">
        <f>E1181*0.22</f>
        <v/>
      </c>
      <c r="G1181" s="6">
        <f>E1181+F1181</f>
        <v/>
      </c>
      <c r="H1181" s="10" t="n">
        <v>1</v>
      </c>
      <c r="I1181" s="7">
        <f>H1181/(180*0.714)</f>
        <v/>
      </c>
    </row>
    <row r="1182">
      <c r="A1182" s="4" t="inlineStr">
        <is>
          <t>SERV-11178</t>
        </is>
      </c>
      <c r="B1182" s="5" t="inlineStr">
        <is>
          <t>Médico / Enfermeiro da Saúde da Família</t>
        </is>
      </c>
      <c r="C1182" s="4" t="inlineStr">
        <is>
          <t>Efetivo Concursado</t>
        </is>
      </c>
      <c r="D1182" s="4" t="inlineStr">
        <is>
          <t>SEC-SAU</t>
        </is>
      </c>
      <c r="E1182" s="6" t="n">
        <v>13931.56</v>
      </c>
      <c r="F1182" s="6">
        <f>E1182*0.22</f>
        <v/>
      </c>
      <c r="G1182" s="6">
        <f>E1182+F1182</f>
        <v/>
      </c>
      <c r="H1182" s="10" t="n">
        <v>2</v>
      </c>
      <c r="I1182" s="7">
        <f>H1182/(180*0.714)</f>
        <v/>
      </c>
    </row>
    <row r="1183">
      <c r="A1183" s="4" t="inlineStr">
        <is>
          <t>SERV-11179</t>
        </is>
      </c>
      <c r="B1183" s="5" t="inlineStr">
        <is>
          <t>Médico / Enfermeiro da Saúde da Família</t>
        </is>
      </c>
      <c r="C1183" s="4" t="inlineStr">
        <is>
          <t>Efetivo Concursado</t>
        </is>
      </c>
      <c r="D1183" s="4" t="inlineStr">
        <is>
          <t>SEC-SAU</t>
        </is>
      </c>
      <c r="E1183" s="6" t="n">
        <v>13950.79</v>
      </c>
      <c r="F1183" s="6">
        <f>E1183*0.22</f>
        <v/>
      </c>
      <c r="G1183" s="6">
        <f>E1183+F1183</f>
        <v/>
      </c>
      <c r="H1183" s="10" t="n">
        <v>5</v>
      </c>
      <c r="I1183" s="7">
        <f>H1183/(180*0.714)</f>
        <v/>
      </c>
    </row>
    <row r="1184">
      <c r="A1184" s="4" t="inlineStr">
        <is>
          <t>SERV-11180</t>
        </is>
      </c>
      <c r="B1184" s="5" t="inlineStr">
        <is>
          <t>Médico / Enfermeiro da Saúde da Família</t>
        </is>
      </c>
      <c r="C1184" s="4" t="inlineStr">
        <is>
          <t>Efetivo Concursado</t>
        </is>
      </c>
      <c r="D1184" s="4" t="inlineStr">
        <is>
          <t>SEC-SAU</t>
        </is>
      </c>
      <c r="E1184" s="6" t="n">
        <v>13372.14</v>
      </c>
      <c r="F1184" s="6">
        <f>E1184*0.22</f>
        <v/>
      </c>
      <c r="G1184" s="6">
        <f>E1184+F1184</f>
        <v/>
      </c>
      <c r="H1184" s="10" t="n">
        <v>2</v>
      </c>
      <c r="I1184" s="7">
        <f>H1184/(180*0.714)</f>
        <v/>
      </c>
    </row>
    <row r="1185">
      <c r="A1185" s="4" t="inlineStr">
        <is>
          <t>SERV-11181</t>
        </is>
      </c>
      <c r="B1185" s="5" t="inlineStr">
        <is>
          <t>Médico / Enfermeiro da Saúde da Família</t>
        </is>
      </c>
      <c r="C1185" s="4" t="inlineStr">
        <is>
          <t>Efetivo Concursado</t>
        </is>
      </c>
      <c r="D1185" s="4" t="inlineStr">
        <is>
          <t>SEC-SAU</t>
        </is>
      </c>
      <c r="E1185" s="6" t="n">
        <v>12528.92</v>
      </c>
      <c r="F1185" s="6">
        <f>E1185*0.22</f>
        <v/>
      </c>
      <c r="G1185" s="6">
        <f>E1185+F1185</f>
        <v/>
      </c>
      <c r="H1185" s="10" t="n">
        <v>2</v>
      </c>
      <c r="I1185" s="7">
        <f>H1185/(180*0.714)</f>
        <v/>
      </c>
    </row>
    <row r="1186">
      <c r="A1186" s="4" t="inlineStr">
        <is>
          <t>SERV-11182</t>
        </is>
      </c>
      <c r="B1186" s="5" t="inlineStr">
        <is>
          <t>Médico / Enfermeiro da Saúde da Família</t>
        </is>
      </c>
      <c r="C1186" s="4" t="inlineStr">
        <is>
          <t>Efetivo Concursado</t>
        </is>
      </c>
      <c r="D1186" s="4" t="inlineStr">
        <is>
          <t>SEC-SAU</t>
        </is>
      </c>
      <c r="E1186" s="6" t="n">
        <v>13756.39</v>
      </c>
      <c r="F1186" s="6">
        <f>E1186*0.22</f>
        <v/>
      </c>
      <c r="G1186" s="6">
        <f>E1186+F1186</f>
        <v/>
      </c>
      <c r="H1186" s="10" t="n">
        <v>4</v>
      </c>
      <c r="I1186" s="7">
        <f>H1186/(180*0.714)</f>
        <v/>
      </c>
    </row>
    <row r="1187">
      <c r="A1187" s="4" t="inlineStr">
        <is>
          <t>SERV-11183</t>
        </is>
      </c>
      <c r="B1187" s="5" t="inlineStr">
        <is>
          <t>Médico / Enfermeiro da Saúde da Família</t>
        </is>
      </c>
      <c r="C1187" s="4" t="inlineStr">
        <is>
          <t>Efetivo Concursado</t>
        </is>
      </c>
      <c r="D1187" s="4" t="inlineStr">
        <is>
          <t>SEC-SAU</t>
        </is>
      </c>
      <c r="E1187" s="6" t="n">
        <v>11913.91</v>
      </c>
      <c r="F1187" s="6">
        <f>E1187*0.22</f>
        <v/>
      </c>
      <c r="G1187" s="6">
        <f>E1187+F1187</f>
        <v/>
      </c>
      <c r="H1187" s="10" t="n">
        <v>4</v>
      </c>
      <c r="I1187" s="7">
        <f>H1187/(180*0.714)</f>
        <v/>
      </c>
    </row>
    <row r="1188">
      <c r="A1188" s="4" t="inlineStr">
        <is>
          <t>SERV-11184</t>
        </is>
      </c>
      <c r="B1188" s="5" t="inlineStr">
        <is>
          <t>Médico / Enfermeiro da Saúde da Família</t>
        </is>
      </c>
      <c r="C1188" s="4" t="inlineStr">
        <is>
          <t>Efetivo Concursado</t>
        </is>
      </c>
      <c r="D1188" s="4" t="inlineStr">
        <is>
          <t>SEC-SAU</t>
        </is>
      </c>
      <c r="E1188" s="6" t="n">
        <v>14059.03</v>
      </c>
      <c r="F1188" s="6">
        <f>E1188*0.22</f>
        <v/>
      </c>
      <c r="G1188" s="6">
        <f>E1188+F1188</f>
        <v/>
      </c>
      <c r="H1188" s="10" t="n">
        <v>2</v>
      </c>
      <c r="I1188" s="7">
        <f>H1188/(180*0.714)</f>
        <v/>
      </c>
    </row>
    <row r="1189">
      <c r="A1189" s="4" t="inlineStr">
        <is>
          <t>SERV-11185</t>
        </is>
      </c>
      <c r="B1189" s="5" t="inlineStr">
        <is>
          <t>Médico / Enfermeiro da Saúde da Família</t>
        </is>
      </c>
      <c r="C1189" s="4" t="inlineStr">
        <is>
          <t>Efetivo Concursado</t>
        </is>
      </c>
      <c r="D1189" s="4" t="inlineStr">
        <is>
          <t>SEC-SAU</t>
        </is>
      </c>
      <c r="E1189" s="6" t="n">
        <v>12397.19</v>
      </c>
      <c r="F1189" s="6">
        <f>E1189*0.22</f>
        <v/>
      </c>
      <c r="G1189" s="6">
        <f>E1189+F1189</f>
        <v/>
      </c>
      <c r="H1189" s="10" t="n">
        <v>4</v>
      </c>
      <c r="I1189" s="7">
        <f>H1189/(180*0.714)</f>
        <v/>
      </c>
    </row>
    <row r="1190">
      <c r="A1190" s="4" t="inlineStr">
        <is>
          <t>SERV-11186</t>
        </is>
      </c>
      <c r="B1190" s="5" t="inlineStr">
        <is>
          <t>Médico / Enfermeiro da Saúde da Família</t>
        </is>
      </c>
      <c r="C1190" s="4" t="inlineStr">
        <is>
          <t>Efetivo Concursado</t>
        </is>
      </c>
      <c r="D1190" s="4" t="inlineStr">
        <is>
          <t>SEC-SAU</t>
        </is>
      </c>
      <c r="E1190" s="6" t="n">
        <v>14084.98</v>
      </c>
      <c r="F1190" s="6">
        <f>E1190*0.22</f>
        <v/>
      </c>
      <c r="G1190" s="6">
        <f>E1190+F1190</f>
        <v/>
      </c>
      <c r="H1190" s="10" t="n">
        <v>2</v>
      </c>
      <c r="I1190" s="7">
        <f>H1190/(180*0.714)</f>
        <v/>
      </c>
    </row>
    <row r="1191">
      <c r="A1191" s="4" t="inlineStr">
        <is>
          <t>SERV-11187</t>
        </is>
      </c>
      <c r="B1191" s="5" t="inlineStr">
        <is>
          <t>Médico / Enfermeiro da Saúde da Família</t>
        </is>
      </c>
      <c r="C1191" s="4" t="inlineStr">
        <is>
          <t>Efetivo Concursado</t>
        </is>
      </c>
      <c r="D1191" s="4" t="inlineStr">
        <is>
          <t>SEC-SAU</t>
        </is>
      </c>
      <c r="E1191" s="6" t="n">
        <v>12737.44</v>
      </c>
      <c r="F1191" s="6">
        <f>E1191*0.22</f>
        <v/>
      </c>
      <c r="G1191" s="6">
        <f>E1191+F1191</f>
        <v/>
      </c>
      <c r="H1191" s="10" t="n">
        <v>2</v>
      </c>
      <c r="I1191" s="7">
        <f>H1191/(180*0.714)</f>
        <v/>
      </c>
    </row>
    <row r="1192">
      <c r="A1192" s="4" t="inlineStr">
        <is>
          <t>SERV-11188</t>
        </is>
      </c>
      <c r="B1192" s="5" t="inlineStr">
        <is>
          <t>Médico / Enfermeiro da Saúde da Família</t>
        </is>
      </c>
      <c r="C1192" s="4" t="inlineStr">
        <is>
          <t>Efetivo Concursado</t>
        </is>
      </c>
      <c r="D1192" s="4" t="inlineStr">
        <is>
          <t>SEC-SAU</t>
        </is>
      </c>
      <c r="E1192" s="6" t="n">
        <v>11865.73</v>
      </c>
      <c r="F1192" s="6">
        <f>E1192*0.22</f>
        <v/>
      </c>
      <c r="G1192" s="6">
        <f>E1192+F1192</f>
        <v/>
      </c>
      <c r="H1192" s="10" t="n">
        <v>3</v>
      </c>
      <c r="I1192" s="7">
        <f>H1192/(180*0.714)</f>
        <v/>
      </c>
    </row>
    <row r="1193">
      <c r="A1193" s="4" t="inlineStr">
        <is>
          <t>SERV-11189</t>
        </is>
      </c>
      <c r="B1193" s="5" t="inlineStr">
        <is>
          <t>Médico / Enfermeiro da Saúde da Família</t>
        </is>
      </c>
      <c r="C1193" s="4" t="inlineStr">
        <is>
          <t>Efetivo Concursado</t>
        </is>
      </c>
      <c r="D1193" s="4" t="inlineStr">
        <is>
          <t>SEC-SAU</t>
        </is>
      </c>
      <c r="E1193" s="6" t="n">
        <v>12548.65</v>
      </c>
      <c r="F1193" s="6">
        <f>E1193*0.22</f>
        <v/>
      </c>
      <c r="G1193" s="6">
        <f>E1193+F1193</f>
        <v/>
      </c>
      <c r="H1193" s="10" t="n">
        <v>4</v>
      </c>
      <c r="I1193" s="7">
        <f>H1193/(180*0.714)</f>
        <v/>
      </c>
    </row>
    <row r="1194">
      <c r="A1194" s="4" t="inlineStr">
        <is>
          <t>SERV-11190</t>
        </is>
      </c>
      <c r="B1194" s="5" t="inlineStr">
        <is>
          <t>Médico / Enfermeiro da Saúde da Família</t>
        </is>
      </c>
      <c r="C1194" s="4" t="inlineStr">
        <is>
          <t>Efetivo Concursado</t>
        </is>
      </c>
      <c r="D1194" s="4" t="inlineStr">
        <is>
          <t>SEC-SAU</t>
        </is>
      </c>
      <c r="E1194" s="6" t="n">
        <v>12810.04</v>
      </c>
      <c r="F1194" s="6">
        <f>E1194*0.22</f>
        <v/>
      </c>
      <c r="G1194" s="6">
        <f>E1194+F1194</f>
        <v/>
      </c>
      <c r="H1194" s="10" t="n">
        <v>3</v>
      </c>
      <c r="I1194" s="7">
        <f>H1194/(180*0.714)</f>
        <v/>
      </c>
    </row>
    <row r="1195">
      <c r="A1195" s="4" t="inlineStr">
        <is>
          <t>SERV-11191</t>
        </is>
      </c>
      <c r="B1195" s="5" t="inlineStr">
        <is>
          <t>Médico / Enfermeiro da Saúde da Família</t>
        </is>
      </c>
      <c r="C1195" s="4" t="inlineStr">
        <is>
          <t>Efetivo Concursado</t>
        </is>
      </c>
      <c r="D1195" s="4" t="inlineStr">
        <is>
          <t>SEC-SAU</t>
        </is>
      </c>
      <c r="E1195" s="6" t="n">
        <v>12315.07</v>
      </c>
      <c r="F1195" s="6">
        <f>E1195*0.22</f>
        <v/>
      </c>
      <c r="G1195" s="6">
        <f>E1195+F1195</f>
        <v/>
      </c>
      <c r="H1195" s="10" t="n">
        <v>2</v>
      </c>
      <c r="I1195" s="7">
        <f>H1195/(180*0.714)</f>
        <v/>
      </c>
    </row>
    <row r="1196">
      <c r="A1196" s="4" t="inlineStr">
        <is>
          <t>SERV-11192</t>
        </is>
      </c>
      <c r="B1196" s="5" t="inlineStr">
        <is>
          <t>Médico / Enfermeiro da Saúde da Família</t>
        </is>
      </c>
      <c r="C1196" s="4" t="inlineStr">
        <is>
          <t>Efetivo Concursado</t>
        </is>
      </c>
      <c r="D1196" s="4" t="inlineStr">
        <is>
          <t>SEC-SAU</t>
        </is>
      </c>
      <c r="E1196" s="6" t="n">
        <v>13751.19</v>
      </c>
      <c r="F1196" s="6">
        <f>E1196*0.22</f>
        <v/>
      </c>
      <c r="G1196" s="6">
        <f>E1196+F1196</f>
        <v/>
      </c>
      <c r="H1196" s="10" t="n">
        <v>5</v>
      </c>
      <c r="I1196" s="7">
        <f>H1196/(180*0.714)</f>
        <v/>
      </c>
    </row>
    <row r="1197">
      <c r="A1197" s="4" t="inlineStr">
        <is>
          <t>SERV-11193</t>
        </is>
      </c>
      <c r="B1197" s="5" t="inlineStr">
        <is>
          <t>Médico / Enfermeiro da Saúde da Família</t>
        </is>
      </c>
      <c r="C1197" s="4" t="inlineStr">
        <is>
          <t>Efetivo Concursado</t>
        </is>
      </c>
      <c r="D1197" s="4" t="inlineStr">
        <is>
          <t>SEC-SAU</t>
        </is>
      </c>
      <c r="E1197" s="6" t="n">
        <v>13571.32</v>
      </c>
      <c r="F1197" s="6">
        <f>E1197*0.22</f>
        <v/>
      </c>
      <c r="G1197" s="6">
        <f>E1197+F1197</f>
        <v/>
      </c>
      <c r="H1197" s="10" t="n">
        <v>4</v>
      </c>
      <c r="I1197" s="7">
        <f>H1197/(180*0.714)</f>
        <v/>
      </c>
    </row>
    <row r="1198">
      <c r="A1198" s="4" t="inlineStr">
        <is>
          <t>SERV-11194</t>
        </is>
      </c>
      <c r="B1198" s="5" t="inlineStr">
        <is>
          <t>Médico / Enfermeiro da Saúde da Família</t>
        </is>
      </c>
      <c r="C1198" s="4" t="inlineStr">
        <is>
          <t>Efetivo Concursado</t>
        </is>
      </c>
      <c r="D1198" s="4" t="inlineStr">
        <is>
          <t>SEC-SAU</t>
        </is>
      </c>
      <c r="E1198" s="6" t="n">
        <v>13679.97</v>
      </c>
      <c r="F1198" s="6">
        <f>E1198*0.22</f>
        <v/>
      </c>
      <c r="G1198" s="6">
        <f>E1198+F1198</f>
        <v/>
      </c>
      <c r="H1198" s="10" t="n">
        <v>1</v>
      </c>
      <c r="I1198" s="7">
        <f>H1198/(180*0.714)</f>
        <v/>
      </c>
    </row>
    <row r="1199">
      <c r="A1199" s="4" t="inlineStr">
        <is>
          <t>SERV-11195</t>
        </is>
      </c>
      <c r="B1199" s="5" t="inlineStr">
        <is>
          <t>Médico / Enfermeiro da Saúde da Família</t>
        </is>
      </c>
      <c r="C1199" s="4" t="inlineStr">
        <is>
          <t>Efetivo Concursado</t>
        </is>
      </c>
      <c r="D1199" s="4" t="inlineStr">
        <is>
          <t>SEC-SAU</t>
        </is>
      </c>
      <c r="E1199" s="6" t="n">
        <v>12452.48</v>
      </c>
      <c r="F1199" s="6">
        <f>E1199*0.22</f>
        <v/>
      </c>
      <c r="G1199" s="6">
        <f>E1199+F1199</f>
        <v/>
      </c>
      <c r="H1199" s="10" t="n">
        <v>5</v>
      </c>
      <c r="I1199" s="7">
        <f>H1199/(180*0.714)</f>
        <v/>
      </c>
    </row>
    <row r="1200">
      <c r="A1200" s="4" t="inlineStr">
        <is>
          <t>SERV-11196</t>
        </is>
      </c>
      <c r="B1200" s="5" t="inlineStr">
        <is>
          <t>Médico / Enfermeiro da Saúde da Família</t>
        </is>
      </c>
      <c r="C1200" s="4" t="inlineStr">
        <is>
          <t>Efetivo Concursado</t>
        </is>
      </c>
      <c r="D1200" s="4" t="inlineStr">
        <is>
          <t>SEC-SAU</t>
        </is>
      </c>
      <c r="E1200" s="6" t="n">
        <v>12202.29</v>
      </c>
      <c r="F1200" s="6">
        <f>E1200*0.22</f>
        <v/>
      </c>
      <c r="G1200" s="6">
        <f>E1200+F1200</f>
        <v/>
      </c>
      <c r="H1200" s="10" t="n">
        <v>2</v>
      </c>
      <c r="I1200" s="7">
        <f>H1200/(180*0.714)</f>
        <v/>
      </c>
    </row>
    <row r="1201">
      <c r="A1201" s="4" t="inlineStr">
        <is>
          <t>SERV-11197</t>
        </is>
      </c>
      <c r="B1201" s="5" t="inlineStr">
        <is>
          <t>Médico / Enfermeiro da Saúde da Família</t>
        </is>
      </c>
      <c r="C1201" s="4" t="inlineStr">
        <is>
          <t>Efetivo Concursado</t>
        </is>
      </c>
      <c r="D1201" s="4" t="inlineStr">
        <is>
          <t>SEC-SAU</t>
        </is>
      </c>
      <c r="E1201" s="6" t="n">
        <v>13884.18</v>
      </c>
      <c r="F1201" s="6">
        <f>E1201*0.22</f>
        <v/>
      </c>
      <c r="G1201" s="6">
        <f>E1201+F1201</f>
        <v/>
      </c>
      <c r="H1201" s="10" t="n">
        <v>3</v>
      </c>
      <c r="I1201" s="7">
        <f>H1201/(180*0.714)</f>
        <v/>
      </c>
    </row>
    <row r="1202">
      <c r="A1202" s="4" t="inlineStr">
        <is>
          <t>SERV-11198</t>
        </is>
      </c>
      <c r="B1202" s="5" t="inlineStr">
        <is>
          <t>Médico / Enfermeiro da Saúde da Família</t>
        </is>
      </c>
      <c r="C1202" s="4" t="inlineStr">
        <is>
          <t>Efetivo Concursado</t>
        </is>
      </c>
      <c r="D1202" s="4" t="inlineStr">
        <is>
          <t>SEC-SAU</t>
        </is>
      </c>
      <c r="E1202" s="6" t="n">
        <v>13755.99</v>
      </c>
      <c r="F1202" s="6">
        <f>E1202*0.22</f>
        <v/>
      </c>
      <c r="G1202" s="6">
        <f>E1202+F1202</f>
        <v/>
      </c>
      <c r="H1202" s="10" t="n">
        <v>5</v>
      </c>
      <c r="I1202" s="7">
        <f>H1202/(180*0.714)</f>
        <v/>
      </c>
    </row>
    <row r="1203">
      <c r="A1203" s="4" t="inlineStr">
        <is>
          <t>SERV-11199</t>
        </is>
      </c>
      <c r="B1203" s="5" t="inlineStr">
        <is>
          <t>Médico / Enfermeiro da Saúde da Família</t>
        </is>
      </c>
      <c r="C1203" s="4" t="inlineStr">
        <is>
          <t>Efetivo Concursado</t>
        </is>
      </c>
      <c r="D1203" s="4" t="inlineStr">
        <is>
          <t>SEC-SAU</t>
        </is>
      </c>
      <c r="E1203" s="6" t="n">
        <v>13019.69</v>
      </c>
      <c r="F1203" s="6">
        <f>E1203*0.22</f>
        <v/>
      </c>
      <c r="G1203" s="6">
        <f>E1203+F1203</f>
        <v/>
      </c>
      <c r="H1203" s="10" t="n">
        <v>4</v>
      </c>
      <c r="I1203" s="7">
        <f>H1203/(180*0.714)</f>
        <v/>
      </c>
    </row>
    <row r="1204">
      <c r="A1204" s="4" t="inlineStr">
        <is>
          <t>SERV-11200</t>
        </is>
      </c>
      <c r="B1204" s="5" t="inlineStr">
        <is>
          <t>Médico / Enfermeiro da Saúde da Família</t>
        </is>
      </c>
      <c r="C1204" s="4" t="inlineStr">
        <is>
          <t>Efetivo Concursado</t>
        </is>
      </c>
      <c r="D1204" s="4" t="inlineStr">
        <is>
          <t>SEC-SAU</t>
        </is>
      </c>
      <c r="E1204" s="6" t="n">
        <v>14106.61</v>
      </c>
      <c r="F1204" s="6">
        <f>E1204*0.22</f>
        <v/>
      </c>
      <c r="G1204" s="6">
        <f>E1204+F1204</f>
        <v/>
      </c>
      <c r="H1204" s="10" t="n">
        <v>2</v>
      </c>
      <c r="I1204" s="7">
        <f>H1204/(180*0.714)</f>
        <v/>
      </c>
    </row>
    <row r="1205">
      <c r="A1205" s="4" t="inlineStr">
        <is>
          <t>SERV-11201</t>
        </is>
      </c>
      <c r="B1205" s="5" t="inlineStr">
        <is>
          <t>Médico / Enfermeiro da Saúde da Família</t>
        </is>
      </c>
      <c r="C1205" s="4" t="inlineStr">
        <is>
          <t>Efetivo Concursado</t>
        </is>
      </c>
      <c r="D1205" s="4" t="inlineStr">
        <is>
          <t>SEC-SAU</t>
        </is>
      </c>
      <c r="E1205" s="6" t="n">
        <v>12644.46</v>
      </c>
      <c r="F1205" s="6">
        <f>E1205*0.22</f>
        <v/>
      </c>
      <c r="G1205" s="6">
        <f>E1205+F1205</f>
        <v/>
      </c>
      <c r="H1205" s="10" t="n">
        <v>4</v>
      </c>
      <c r="I1205" s="7">
        <f>H1205/(180*0.714)</f>
        <v/>
      </c>
    </row>
    <row r="1206">
      <c r="A1206" s="4" t="inlineStr">
        <is>
          <t>SERV-11202</t>
        </is>
      </c>
      <c r="B1206" s="5" t="inlineStr">
        <is>
          <t>Médico / Enfermeiro da Saúde da Família</t>
        </is>
      </c>
      <c r="C1206" s="4" t="inlineStr">
        <is>
          <t>Efetivo Concursado</t>
        </is>
      </c>
      <c r="D1206" s="4" t="inlineStr">
        <is>
          <t>SEC-SAU</t>
        </is>
      </c>
      <c r="E1206" s="6" t="n">
        <v>12904.44</v>
      </c>
      <c r="F1206" s="6">
        <f>E1206*0.22</f>
        <v/>
      </c>
      <c r="G1206" s="6">
        <f>E1206+F1206</f>
        <v/>
      </c>
      <c r="H1206" s="10" t="n">
        <v>4</v>
      </c>
      <c r="I1206" s="7">
        <f>H1206/(180*0.714)</f>
        <v/>
      </c>
    </row>
    <row r="1207">
      <c r="A1207" s="4" t="inlineStr">
        <is>
          <t>SERV-11203</t>
        </is>
      </c>
      <c r="B1207" s="5" t="inlineStr">
        <is>
          <t>Médico / Enfermeiro da Saúde da Família</t>
        </is>
      </c>
      <c r="C1207" s="4" t="inlineStr">
        <is>
          <t>Efetivo Concursado</t>
        </is>
      </c>
      <c r="D1207" s="4" t="inlineStr">
        <is>
          <t>SEC-SAU</t>
        </is>
      </c>
      <c r="E1207" s="6" t="n">
        <v>12831.58</v>
      </c>
      <c r="F1207" s="6">
        <f>E1207*0.22</f>
        <v/>
      </c>
      <c r="G1207" s="6">
        <f>E1207+F1207</f>
        <v/>
      </c>
      <c r="H1207" s="10" t="n">
        <v>3</v>
      </c>
      <c r="I1207" s="7">
        <f>H1207/(180*0.714)</f>
        <v/>
      </c>
    </row>
    <row r="1208">
      <c r="A1208" s="4" t="inlineStr">
        <is>
          <t>SERV-11204</t>
        </is>
      </c>
      <c r="B1208" s="5" t="inlineStr">
        <is>
          <t>Médico / Enfermeiro da Saúde da Família</t>
        </is>
      </c>
      <c r="C1208" s="4" t="inlineStr">
        <is>
          <t>Efetivo Concursado</t>
        </is>
      </c>
      <c r="D1208" s="4" t="inlineStr">
        <is>
          <t>SEC-SAU</t>
        </is>
      </c>
      <c r="E1208" s="6" t="n">
        <v>14006.01</v>
      </c>
      <c r="F1208" s="6">
        <f>E1208*0.22</f>
        <v/>
      </c>
      <c r="G1208" s="6">
        <f>E1208+F1208</f>
        <v/>
      </c>
      <c r="H1208" s="10" t="n">
        <v>1</v>
      </c>
      <c r="I1208" s="7">
        <f>H1208/(180*0.714)</f>
        <v/>
      </c>
    </row>
    <row r="1209">
      <c r="A1209" s="4" t="inlineStr">
        <is>
          <t>SERV-11205</t>
        </is>
      </c>
      <c r="B1209" s="5" t="inlineStr">
        <is>
          <t>Médico / Enfermeiro da Saúde da Família</t>
        </is>
      </c>
      <c r="C1209" s="4" t="inlineStr">
        <is>
          <t>Efetivo Concursado</t>
        </is>
      </c>
      <c r="D1209" s="4" t="inlineStr">
        <is>
          <t>SEC-SAU</t>
        </is>
      </c>
      <c r="E1209" s="6" t="n">
        <v>12865.11</v>
      </c>
      <c r="F1209" s="6">
        <f>E1209*0.22</f>
        <v/>
      </c>
      <c r="G1209" s="6">
        <f>E1209+F1209</f>
        <v/>
      </c>
      <c r="H1209" s="10" t="n">
        <v>4</v>
      </c>
      <c r="I1209" s="7">
        <f>H1209/(180*0.714)</f>
        <v/>
      </c>
    </row>
    <row r="1210">
      <c r="A1210" s="4" t="inlineStr">
        <is>
          <t>SERV-11206</t>
        </is>
      </c>
      <c r="B1210" s="5" t="inlineStr">
        <is>
          <t>Médico / Enfermeiro da Saúde da Família</t>
        </is>
      </c>
      <c r="C1210" s="4" t="inlineStr">
        <is>
          <t>Efetivo Concursado</t>
        </is>
      </c>
      <c r="D1210" s="4" t="inlineStr">
        <is>
          <t>SEC-SAU</t>
        </is>
      </c>
      <c r="E1210" s="6" t="n">
        <v>12381</v>
      </c>
      <c r="F1210" s="6">
        <f>E1210*0.22</f>
        <v/>
      </c>
      <c r="G1210" s="6">
        <f>E1210+F1210</f>
        <v/>
      </c>
      <c r="H1210" s="10" t="n">
        <v>5</v>
      </c>
      <c r="I1210" s="7">
        <f>H1210/(180*0.714)</f>
        <v/>
      </c>
    </row>
    <row r="1211">
      <c r="A1211" s="4" t="inlineStr">
        <is>
          <t>SERV-11207</t>
        </is>
      </c>
      <c r="B1211" s="5" t="inlineStr">
        <is>
          <t>Médico / Enfermeiro da Saúde da Família</t>
        </is>
      </c>
      <c r="C1211" s="4" t="inlineStr">
        <is>
          <t>Efetivo Concursado</t>
        </is>
      </c>
      <c r="D1211" s="4" t="inlineStr">
        <is>
          <t>SEC-SAU</t>
        </is>
      </c>
      <c r="E1211" s="6" t="n">
        <v>14206.71</v>
      </c>
      <c r="F1211" s="6">
        <f>E1211*0.22</f>
        <v/>
      </c>
      <c r="G1211" s="6">
        <f>E1211+F1211</f>
        <v/>
      </c>
      <c r="H1211" s="10" t="n">
        <v>4</v>
      </c>
      <c r="I1211" s="7">
        <f>H1211/(180*0.714)</f>
        <v/>
      </c>
    </row>
    <row r="1212">
      <c r="A1212" s="4" t="inlineStr">
        <is>
          <t>SERV-11208</t>
        </is>
      </c>
      <c r="B1212" s="5" t="inlineStr">
        <is>
          <t>Médico / Enfermeiro da Saúde da Família</t>
        </is>
      </c>
      <c r="C1212" s="4" t="inlineStr">
        <is>
          <t>Efetivo Concursado</t>
        </is>
      </c>
      <c r="D1212" s="4" t="inlineStr">
        <is>
          <t>SEC-SAU</t>
        </is>
      </c>
      <c r="E1212" s="6" t="n">
        <v>12589.02</v>
      </c>
      <c r="F1212" s="6">
        <f>E1212*0.22</f>
        <v/>
      </c>
      <c r="G1212" s="6">
        <f>E1212+F1212</f>
        <v/>
      </c>
      <c r="H1212" s="10" t="n">
        <v>2</v>
      </c>
      <c r="I1212" s="7">
        <f>H1212/(180*0.714)</f>
        <v/>
      </c>
    </row>
    <row r="1213">
      <c r="A1213" s="4" t="inlineStr">
        <is>
          <t>SERV-11209</t>
        </is>
      </c>
      <c r="B1213" s="5" t="inlineStr">
        <is>
          <t>Médico / Enfermeiro da Saúde da Família</t>
        </is>
      </c>
      <c r="C1213" s="4" t="inlineStr">
        <is>
          <t>Efetivo Concursado</t>
        </is>
      </c>
      <c r="D1213" s="4" t="inlineStr">
        <is>
          <t>SEC-SAU</t>
        </is>
      </c>
      <c r="E1213" s="6" t="n">
        <v>13962.93</v>
      </c>
      <c r="F1213" s="6">
        <f>E1213*0.22</f>
        <v/>
      </c>
      <c r="G1213" s="6">
        <f>E1213+F1213</f>
        <v/>
      </c>
      <c r="H1213" s="10" t="n">
        <v>5</v>
      </c>
      <c r="I1213" s="7">
        <f>H1213/(180*0.714)</f>
        <v/>
      </c>
    </row>
    <row r="1214">
      <c r="A1214" s="4" t="inlineStr">
        <is>
          <t>SERV-11210</t>
        </is>
      </c>
      <c r="B1214" s="5" t="inlineStr">
        <is>
          <t>Médico / Enfermeiro da Saúde da Família</t>
        </is>
      </c>
      <c r="C1214" s="4" t="inlineStr">
        <is>
          <t>Efetivo Concursado</t>
        </is>
      </c>
      <c r="D1214" s="4" t="inlineStr">
        <is>
          <t>SEC-SAU</t>
        </is>
      </c>
      <c r="E1214" s="6" t="n">
        <v>13022.01</v>
      </c>
      <c r="F1214" s="6">
        <f>E1214*0.22</f>
        <v/>
      </c>
      <c r="G1214" s="6">
        <f>E1214+F1214</f>
        <v/>
      </c>
      <c r="H1214" s="10" t="n">
        <v>4</v>
      </c>
      <c r="I1214" s="7">
        <f>H1214/(180*0.714)</f>
        <v/>
      </c>
    </row>
    <row r="1215">
      <c r="A1215" s="4" t="inlineStr">
        <is>
          <t>SERV-11211</t>
        </is>
      </c>
      <c r="B1215" s="5" t="inlineStr">
        <is>
          <t>Médico / Enfermeiro da Saúde da Família</t>
        </is>
      </c>
      <c r="C1215" s="4" t="inlineStr">
        <is>
          <t>Efetivo Concursado</t>
        </is>
      </c>
      <c r="D1215" s="4" t="inlineStr">
        <is>
          <t>SEC-SAU</t>
        </is>
      </c>
      <c r="E1215" s="6" t="n">
        <v>12531.97</v>
      </c>
      <c r="F1215" s="6">
        <f>E1215*0.22</f>
        <v/>
      </c>
      <c r="G1215" s="6">
        <f>E1215+F1215</f>
        <v/>
      </c>
      <c r="H1215" s="10" t="n">
        <v>3</v>
      </c>
      <c r="I1215" s="7">
        <f>H1215/(180*0.714)</f>
        <v/>
      </c>
    </row>
    <row r="1216">
      <c r="A1216" s="4" t="inlineStr">
        <is>
          <t>SERV-11212</t>
        </is>
      </c>
      <c r="B1216" s="5" t="inlineStr">
        <is>
          <t>Médico / Enfermeiro da Saúde da Família</t>
        </is>
      </c>
      <c r="C1216" s="4" t="inlineStr">
        <is>
          <t>Efetivo Concursado</t>
        </is>
      </c>
      <c r="D1216" s="4" t="inlineStr">
        <is>
          <t>SEC-SAU</t>
        </is>
      </c>
      <c r="E1216" s="6" t="n">
        <v>12617.01</v>
      </c>
      <c r="F1216" s="6">
        <f>E1216*0.22</f>
        <v/>
      </c>
      <c r="G1216" s="6">
        <f>E1216+F1216</f>
        <v/>
      </c>
      <c r="H1216" s="10" t="n">
        <v>4</v>
      </c>
      <c r="I1216" s="7">
        <f>H1216/(180*0.714)</f>
        <v/>
      </c>
    </row>
    <row r="1217">
      <c r="A1217" s="4" t="inlineStr">
        <is>
          <t>SERV-11213</t>
        </is>
      </c>
      <c r="B1217" s="5" t="inlineStr">
        <is>
          <t>Médico / Enfermeiro da Saúde da Família</t>
        </is>
      </c>
      <c r="C1217" s="4" t="inlineStr">
        <is>
          <t>Efetivo Concursado</t>
        </is>
      </c>
      <c r="D1217" s="4" t="inlineStr">
        <is>
          <t>SEC-SAU</t>
        </is>
      </c>
      <c r="E1217" s="6" t="n">
        <v>12477.13</v>
      </c>
      <c r="F1217" s="6">
        <f>E1217*0.22</f>
        <v/>
      </c>
      <c r="G1217" s="6">
        <f>E1217+F1217</f>
        <v/>
      </c>
      <c r="H1217" s="10" t="n">
        <v>5</v>
      </c>
      <c r="I1217" s="7">
        <f>H1217/(180*0.714)</f>
        <v/>
      </c>
    </row>
    <row r="1218">
      <c r="A1218" s="4" t="inlineStr">
        <is>
          <t>SERV-11214</t>
        </is>
      </c>
      <c r="B1218" s="5" t="inlineStr">
        <is>
          <t>Médico / Enfermeiro da Saúde da Família</t>
        </is>
      </c>
      <c r="C1218" s="4" t="inlineStr">
        <is>
          <t>Efetivo Concursado</t>
        </is>
      </c>
      <c r="D1218" s="4" t="inlineStr">
        <is>
          <t>SEC-SAU</t>
        </is>
      </c>
      <c r="E1218" s="6" t="n">
        <v>13985.11</v>
      </c>
      <c r="F1218" s="6">
        <f>E1218*0.22</f>
        <v/>
      </c>
      <c r="G1218" s="6">
        <f>E1218+F1218</f>
        <v/>
      </c>
      <c r="H1218" s="10" t="n">
        <v>3</v>
      </c>
      <c r="I1218" s="7">
        <f>H1218/(180*0.714)</f>
        <v/>
      </c>
    </row>
    <row r="1219">
      <c r="A1219" s="4" t="inlineStr">
        <is>
          <t>SERV-11215</t>
        </is>
      </c>
      <c r="B1219" s="5" t="inlineStr">
        <is>
          <t>Médico / Enfermeiro da Saúde da Família</t>
        </is>
      </c>
      <c r="C1219" s="4" t="inlineStr">
        <is>
          <t>Efetivo Concursado</t>
        </is>
      </c>
      <c r="D1219" s="4" t="inlineStr">
        <is>
          <t>SEC-SAU</t>
        </is>
      </c>
      <c r="E1219" s="6" t="n">
        <v>12383.46</v>
      </c>
      <c r="F1219" s="6">
        <f>E1219*0.22</f>
        <v/>
      </c>
      <c r="G1219" s="6">
        <f>E1219+F1219</f>
        <v/>
      </c>
      <c r="H1219" s="10" t="n">
        <v>2</v>
      </c>
      <c r="I1219" s="7">
        <f>H1219/(180*0.714)</f>
        <v/>
      </c>
    </row>
    <row r="1220">
      <c r="A1220" s="4" t="inlineStr">
        <is>
          <t>SERV-11216</t>
        </is>
      </c>
      <c r="B1220" s="5" t="inlineStr">
        <is>
          <t>Médico / Enfermeiro da Saúde da Família</t>
        </is>
      </c>
      <c r="C1220" s="4" t="inlineStr">
        <is>
          <t>Efetivo Concursado</t>
        </is>
      </c>
      <c r="D1220" s="4" t="inlineStr">
        <is>
          <t>SEC-SAU</t>
        </is>
      </c>
      <c r="E1220" s="6" t="n">
        <v>13787.68</v>
      </c>
      <c r="F1220" s="6">
        <f>E1220*0.22</f>
        <v/>
      </c>
      <c r="G1220" s="6">
        <f>E1220+F1220</f>
        <v/>
      </c>
      <c r="H1220" s="10" t="n">
        <v>5</v>
      </c>
      <c r="I1220" s="7">
        <f>H1220/(180*0.714)</f>
        <v/>
      </c>
    </row>
    <row r="1221">
      <c r="A1221" s="4" t="inlineStr">
        <is>
          <t>SERV-11217</t>
        </is>
      </c>
      <c r="B1221" s="5" t="inlineStr">
        <is>
          <t>Médico / Enfermeiro da Saúde da Família</t>
        </is>
      </c>
      <c r="C1221" s="4" t="inlineStr">
        <is>
          <t>Efetivo Concursado</t>
        </is>
      </c>
      <c r="D1221" s="4" t="inlineStr">
        <is>
          <t>SEC-SAU</t>
        </is>
      </c>
      <c r="E1221" s="6" t="n">
        <v>13858.19</v>
      </c>
      <c r="F1221" s="6">
        <f>E1221*0.22</f>
        <v/>
      </c>
      <c r="G1221" s="6">
        <f>E1221+F1221</f>
        <v/>
      </c>
      <c r="H1221" s="10" t="n">
        <v>4</v>
      </c>
      <c r="I1221" s="7">
        <f>H1221/(180*0.714)</f>
        <v/>
      </c>
    </row>
    <row r="1222">
      <c r="A1222" s="4" t="inlineStr">
        <is>
          <t>SERV-11218</t>
        </is>
      </c>
      <c r="B1222" s="5" t="inlineStr">
        <is>
          <t>Médico / Enfermeiro da Saúde da Família</t>
        </is>
      </c>
      <c r="C1222" s="4" t="inlineStr">
        <is>
          <t>Efetivo Concursado</t>
        </is>
      </c>
      <c r="D1222" s="4" t="inlineStr">
        <is>
          <t>SEC-SAU</t>
        </is>
      </c>
      <c r="E1222" s="6" t="n">
        <v>11811.93</v>
      </c>
      <c r="F1222" s="6">
        <f>E1222*0.22</f>
        <v/>
      </c>
      <c r="G1222" s="6">
        <f>E1222+F1222</f>
        <v/>
      </c>
      <c r="H1222" s="10" t="n">
        <v>2</v>
      </c>
      <c r="I1222" s="7">
        <f>H1222/(180*0.714)</f>
        <v/>
      </c>
    </row>
    <row r="1223">
      <c r="A1223" s="4" t="inlineStr">
        <is>
          <t>SERV-11219</t>
        </is>
      </c>
      <c r="B1223" s="5" t="inlineStr">
        <is>
          <t>Médico / Enfermeiro da Saúde da Família</t>
        </is>
      </c>
      <c r="C1223" s="4" t="inlineStr">
        <is>
          <t>Efetivo Concursado</t>
        </is>
      </c>
      <c r="D1223" s="4" t="inlineStr">
        <is>
          <t>SEC-SAU</t>
        </is>
      </c>
      <c r="E1223" s="6" t="n">
        <v>12374.58</v>
      </c>
      <c r="F1223" s="6">
        <f>E1223*0.22</f>
        <v/>
      </c>
      <c r="G1223" s="6">
        <f>E1223+F1223</f>
        <v/>
      </c>
      <c r="H1223" s="10" t="n">
        <v>5</v>
      </c>
      <c r="I1223" s="7">
        <f>H1223/(180*0.714)</f>
        <v/>
      </c>
    </row>
    <row r="1224">
      <c r="A1224" s="4" t="inlineStr">
        <is>
          <t>SERV-11220</t>
        </is>
      </c>
      <c r="B1224" s="5" t="inlineStr">
        <is>
          <t>Médico / Enfermeiro da Saúde da Família</t>
        </is>
      </c>
      <c r="C1224" s="4" t="inlineStr">
        <is>
          <t>Efetivo Concursado</t>
        </is>
      </c>
      <c r="D1224" s="4" t="inlineStr">
        <is>
          <t>SEC-SAU</t>
        </is>
      </c>
      <c r="E1224" s="6" t="n">
        <v>14281.12</v>
      </c>
      <c r="F1224" s="6">
        <f>E1224*0.22</f>
        <v/>
      </c>
      <c r="G1224" s="6">
        <f>E1224+F1224</f>
        <v/>
      </c>
      <c r="H1224" s="10" t="n">
        <v>4</v>
      </c>
      <c r="I1224" s="7">
        <f>H1224/(180*0.714)</f>
        <v/>
      </c>
    </row>
    <row r="1225">
      <c r="A1225" s="4" t="inlineStr">
        <is>
          <t>SERV-11221</t>
        </is>
      </c>
      <c r="B1225" s="5" t="inlineStr">
        <is>
          <t>Médico / Enfermeiro da Saúde da Família</t>
        </is>
      </c>
      <c r="C1225" s="4" t="inlineStr">
        <is>
          <t>Efetivo Concursado</t>
        </is>
      </c>
      <c r="D1225" s="4" t="inlineStr">
        <is>
          <t>SEC-SAU</t>
        </is>
      </c>
      <c r="E1225" s="6" t="n">
        <v>13574.24</v>
      </c>
      <c r="F1225" s="6">
        <f>E1225*0.22</f>
        <v/>
      </c>
      <c r="G1225" s="6">
        <f>E1225+F1225</f>
        <v/>
      </c>
      <c r="H1225" s="10" t="n">
        <v>1</v>
      </c>
      <c r="I1225" s="7">
        <f>H1225/(180*0.714)</f>
        <v/>
      </c>
    </row>
    <row r="1226">
      <c r="A1226" s="4" t="inlineStr">
        <is>
          <t>SERV-11222</t>
        </is>
      </c>
      <c r="B1226" s="5" t="inlineStr">
        <is>
          <t>Médico / Enfermeiro da Saúde da Família</t>
        </is>
      </c>
      <c r="C1226" s="4" t="inlineStr">
        <is>
          <t>Efetivo Concursado</t>
        </is>
      </c>
      <c r="D1226" s="4" t="inlineStr">
        <is>
          <t>SEC-SAU</t>
        </is>
      </c>
      <c r="E1226" s="6" t="n">
        <v>12350.47</v>
      </c>
      <c r="F1226" s="6">
        <f>E1226*0.22</f>
        <v/>
      </c>
      <c r="G1226" s="6">
        <f>E1226+F1226</f>
        <v/>
      </c>
      <c r="H1226" s="10" t="n">
        <v>2</v>
      </c>
      <c r="I1226" s="7">
        <f>H1226/(180*0.714)</f>
        <v/>
      </c>
    </row>
    <row r="1227">
      <c r="A1227" s="4" t="inlineStr">
        <is>
          <t>SERV-11223</t>
        </is>
      </c>
      <c r="B1227" s="5" t="inlineStr">
        <is>
          <t>Médico / Enfermeiro da Saúde da Família</t>
        </is>
      </c>
      <c r="C1227" s="4" t="inlineStr">
        <is>
          <t>Efetivo Concursado</t>
        </is>
      </c>
      <c r="D1227" s="4" t="inlineStr">
        <is>
          <t>SEC-SAU</t>
        </is>
      </c>
      <c r="E1227" s="6" t="n">
        <v>13677.33</v>
      </c>
      <c r="F1227" s="6">
        <f>E1227*0.22</f>
        <v/>
      </c>
      <c r="G1227" s="6">
        <f>E1227+F1227</f>
        <v/>
      </c>
      <c r="H1227" s="10" t="n">
        <v>4</v>
      </c>
      <c r="I1227" s="7">
        <f>H1227/(180*0.714)</f>
        <v/>
      </c>
    </row>
    <row r="1228">
      <c r="A1228" s="4" t="inlineStr">
        <is>
          <t>SERV-11224</t>
        </is>
      </c>
      <c r="B1228" s="5" t="inlineStr">
        <is>
          <t>Médico / Enfermeiro da Saúde da Família</t>
        </is>
      </c>
      <c r="C1228" s="4" t="inlineStr">
        <is>
          <t>Efetivo Concursado</t>
        </is>
      </c>
      <c r="D1228" s="4" t="inlineStr">
        <is>
          <t>SEC-SAU</t>
        </is>
      </c>
      <c r="E1228" s="6" t="n">
        <v>11938.21</v>
      </c>
      <c r="F1228" s="6">
        <f>E1228*0.22</f>
        <v/>
      </c>
      <c r="G1228" s="6">
        <f>E1228+F1228</f>
        <v/>
      </c>
      <c r="H1228" s="10" t="n">
        <v>3</v>
      </c>
      <c r="I1228" s="7">
        <f>H1228/(180*0.714)</f>
        <v/>
      </c>
    </row>
    <row r="1229">
      <c r="A1229" s="4" t="inlineStr">
        <is>
          <t>SERV-11225</t>
        </is>
      </c>
      <c r="B1229" s="5" t="inlineStr">
        <is>
          <t>Médico / Enfermeiro da Saúde da Família</t>
        </is>
      </c>
      <c r="C1229" s="4" t="inlineStr">
        <is>
          <t>Efetivo Concursado</t>
        </is>
      </c>
      <c r="D1229" s="4" t="inlineStr">
        <is>
          <t>SEC-SAU</t>
        </is>
      </c>
      <c r="E1229" s="6" t="n">
        <v>13522.81</v>
      </c>
      <c r="F1229" s="6">
        <f>E1229*0.22</f>
        <v/>
      </c>
      <c r="G1229" s="6">
        <f>E1229+F1229</f>
        <v/>
      </c>
      <c r="H1229" s="10" t="n">
        <v>4</v>
      </c>
      <c r="I1229" s="7">
        <f>H1229/(180*0.714)</f>
        <v/>
      </c>
    </row>
    <row r="1230">
      <c r="A1230" s="4" t="inlineStr">
        <is>
          <t>SERV-11226</t>
        </is>
      </c>
      <c r="B1230" s="5" t="inlineStr">
        <is>
          <t>Médico / Enfermeiro da Saúde da Família</t>
        </is>
      </c>
      <c r="C1230" s="4" t="inlineStr">
        <is>
          <t>Efetivo Concursado</t>
        </is>
      </c>
      <c r="D1230" s="4" t="inlineStr">
        <is>
          <t>SEC-SAU</t>
        </is>
      </c>
      <c r="E1230" s="6" t="n">
        <v>12778.31</v>
      </c>
      <c r="F1230" s="6">
        <f>E1230*0.22</f>
        <v/>
      </c>
      <c r="G1230" s="6">
        <f>E1230+F1230</f>
        <v/>
      </c>
      <c r="H1230" s="10" t="n">
        <v>5</v>
      </c>
      <c r="I1230" s="7">
        <f>H1230/(180*0.714)</f>
        <v/>
      </c>
    </row>
    <row r="1231">
      <c r="A1231" s="4" t="inlineStr">
        <is>
          <t>SERV-11227</t>
        </is>
      </c>
      <c r="B1231" s="5" t="inlineStr">
        <is>
          <t>Médico / Enfermeiro da Saúde da Família</t>
        </is>
      </c>
      <c r="C1231" s="4" t="inlineStr">
        <is>
          <t>Efetivo Concursado</t>
        </is>
      </c>
      <c r="D1231" s="4" t="inlineStr">
        <is>
          <t>SEC-SAU</t>
        </is>
      </c>
      <c r="E1231" s="6" t="n">
        <v>13714.52</v>
      </c>
      <c r="F1231" s="6">
        <f>E1231*0.22</f>
        <v/>
      </c>
      <c r="G1231" s="6">
        <f>E1231+F1231</f>
        <v/>
      </c>
      <c r="H1231" s="10" t="n">
        <v>1</v>
      </c>
      <c r="I1231" s="7">
        <f>H1231/(180*0.714)</f>
        <v/>
      </c>
    </row>
    <row r="1232">
      <c r="A1232" s="4" t="inlineStr">
        <is>
          <t>SERV-11228</t>
        </is>
      </c>
      <c r="B1232" s="5" t="inlineStr">
        <is>
          <t>Médico / Enfermeiro da Saúde da Família</t>
        </is>
      </c>
      <c r="C1232" s="4" t="inlineStr">
        <is>
          <t>Efetivo Concursado</t>
        </is>
      </c>
      <c r="D1232" s="4" t="inlineStr">
        <is>
          <t>SEC-SAU</t>
        </is>
      </c>
      <c r="E1232" s="6" t="n">
        <v>12942.37</v>
      </c>
      <c r="F1232" s="6">
        <f>E1232*0.22</f>
        <v/>
      </c>
      <c r="G1232" s="6">
        <f>E1232+F1232</f>
        <v/>
      </c>
      <c r="H1232" s="10" t="n">
        <v>5</v>
      </c>
      <c r="I1232" s="7">
        <f>H1232/(180*0.714)</f>
        <v/>
      </c>
    </row>
    <row r="1233">
      <c r="A1233" s="4" t="inlineStr">
        <is>
          <t>SERV-11229</t>
        </is>
      </c>
      <c r="B1233" s="5" t="inlineStr">
        <is>
          <t>Médico / Enfermeiro da Saúde da Família</t>
        </is>
      </c>
      <c r="C1233" s="4" t="inlineStr">
        <is>
          <t>Efetivo Concursado</t>
        </is>
      </c>
      <c r="D1233" s="4" t="inlineStr">
        <is>
          <t>SEC-SAU</t>
        </is>
      </c>
      <c r="E1233" s="6" t="n">
        <v>13791.6</v>
      </c>
      <c r="F1233" s="6">
        <f>E1233*0.22</f>
        <v/>
      </c>
      <c r="G1233" s="6">
        <f>E1233+F1233</f>
        <v/>
      </c>
      <c r="H1233" s="10" t="n">
        <v>1</v>
      </c>
      <c r="I1233" s="7">
        <f>H1233/(180*0.714)</f>
        <v/>
      </c>
    </row>
    <row r="1234">
      <c r="A1234" s="4" t="inlineStr">
        <is>
          <t>SERV-11230</t>
        </is>
      </c>
      <c r="B1234" s="5" t="inlineStr">
        <is>
          <t>Médico / Enfermeiro da Saúde da Família</t>
        </is>
      </c>
      <c r="C1234" s="4" t="inlineStr">
        <is>
          <t>Efetivo Concursado</t>
        </is>
      </c>
      <c r="D1234" s="4" t="inlineStr">
        <is>
          <t>SEC-SAU</t>
        </is>
      </c>
      <c r="E1234" s="6" t="n">
        <v>12753.11</v>
      </c>
      <c r="F1234" s="6">
        <f>E1234*0.22</f>
        <v/>
      </c>
      <c r="G1234" s="6">
        <f>E1234+F1234</f>
        <v/>
      </c>
      <c r="H1234" s="10" t="n">
        <v>4</v>
      </c>
      <c r="I1234" s="7">
        <f>H1234/(180*0.714)</f>
        <v/>
      </c>
    </row>
    <row r="1235">
      <c r="A1235" s="4" t="inlineStr">
        <is>
          <t>SERV-11231</t>
        </is>
      </c>
      <c r="B1235" s="5" t="inlineStr">
        <is>
          <t>Médico / Enfermeiro da Saúde da Família</t>
        </is>
      </c>
      <c r="C1235" s="4" t="inlineStr">
        <is>
          <t>Efetivo Concursado</t>
        </is>
      </c>
      <c r="D1235" s="4" t="inlineStr">
        <is>
          <t>SEC-SAU</t>
        </is>
      </c>
      <c r="E1235" s="6" t="n">
        <v>13185.94</v>
      </c>
      <c r="F1235" s="6">
        <f>E1235*0.22</f>
        <v/>
      </c>
      <c r="G1235" s="6">
        <f>E1235+F1235</f>
        <v/>
      </c>
      <c r="H1235" s="10" t="n">
        <v>2</v>
      </c>
      <c r="I1235" s="7">
        <f>H1235/(180*0.714)</f>
        <v/>
      </c>
    </row>
    <row r="1236">
      <c r="A1236" s="4" t="inlineStr">
        <is>
          <t>SERV-11232</t>
        </is>
      </c>
      <c r="B1236" s="5" t="inlineStr">
        <is>
          <t>Médico / Enfermeiro da Saúde da Família</t>
        </is>
      </c>
      <c r="C1236" s="4" t="inlineStr">
        <is>
          <t>Efetivo Concursado</t>
        </is>
      </c>
      <c r="D1236" s="4" t="inlineStr">
        <is>
          <t>SEC-SAU</t>
        </is>
      </c>
      <c r="E1236" s="6" t="n">
        <v>12953.64</v>
      </c>
      <c r="F1236" s="6">
        <f>E1236*0.22</f>
        <v/>
      </c>
      <c r="G1236" s="6">
        <f>E1236+F1236</f>
        <v/>
      </c>
      <c r="H1236" s="10" t="n">
        <v>2</v>
      </c>
      <c r="I1236" s="7">
        <f>H1236/(180*0.714)</f>
        <v/>
      </c>
    </row>
    <row r="1237">
      <c r="A1237" s="4" t="inlineStr">
        <is>
          <t>SERV-11233</t>
        </is>
      </c>
      <c r="B1237" s="5" t="inlineStr">
        <is>
          <t>Médico / Enfermeiro da Saúde da Família</t>
        </is>
      </c>
      <c r="C1237" s="4" t="inlineStr">
        <is>
          <t>Efetivo Concursado</t>
        </is>
      </c>
      <c r="D1237" s="4" t="inlineStr">
        <is>
          <t>SEC-SAU</t>
        </is>
      </c>
      <c r="E1237" s="6" t="n">
        <v>13701.05</v>
      </c>
      <c r="F1237" s="6">
        <f>E1237*0.22</f>
        <v/>
      </c>
      <c r="G1237" s="6">
        <f>E1237+F1237</f>
        <v/>
      </c>
      <c r="H1237" s="10" t="n">
        <v>3</v>
      </c>
      <c r="I1237" s="7">
        <f>H1237/(180*0.714)</f>
        <v/>
      </c>
    </row>
    <row r="1238">
      <c r="A1238" s="4" t="inlineStr">
        <is>
          <t>SERV-11234</t>
        </is>
      </c>
      <c r="B1238" s="5" t="inlineStr">
        <is>
          <t>Médico / Enfermeiro da Saúde da Família</t>
        </is>
      </c>
      <c r="C1238" s="4" t="inlineStr">
        <is>
          <t>Efetivo Concursado</t>
        </is>
      </c>
      <c r="D1238" s="4" t="inlineStr">
        <is>
          <t>SEC-SAU</t>
        </is>
      </c>
      <c r="E1238" s="6" t="n">
        <v>11989.57</v>
      </c>
      <c r="F1238" s="6">
        <f>E1238*0.22</f>
        <v/>
      </c>
      <c r="G1238" s="6">
        <f>E1238+F1238</f>
        <v/>
      </c>
      <c r="H1238" s="10" t="n">
        <v>2</v>
      </c>
      <c r="I1238" s="7">
        <f>H1238/(180*0.714)</f>
        <v/>
      </c>
    </row>
    <row r="1239">
      <c r="A1239" s="4" t="inlineStr">
        <is>
          <t>SERV-11235</t>
        </is>
      </c>
      <c r="B1239" s="5" t="inlineStr">
        <is>
          <t>Médico / Enfermeiro da Saúde da Família</t>
        </is>
      </c>
      <c r="C1239" s="4" t="inlineStr">
        <is>
          <t>Efetivo Concursado</t>
        </is>
      </c>
      <c r="D1239" s="4" t="inlineStr">
        <is>
          <t>SEC-SAU</t>
        </is>
      </c>
      <c r="E1239" s="6" t="n">
        <v>13263.8</v>
      </c>
      <c r="F1239" s="6">
        <f>E1239*0.22</f>
        <v/>
      </c>
      <c r="G1239" s="6">
        <f>E1239+F1239</f>
        <v/>
      </c>
      <c r="H1239" s="10" t="n">
        <v>2</v>
      </c>
      <c r="I1239" s="7">
        <f>H1239/(180*0.714)</f>
        <v/>
      </c>
    </row>
    <row r="1240">
      <c r="A1240" s="4" t="inlineStr">
        <is>
          <t>SERV-11236</t>
        </is>
      </c>
      <c r="B1240" s="5" t="inlineStr">
        <is>
          <t>Médico / Enfermeiro da Saúde da Família</t>
        </is>
      </c>
      <c r="C1240" s="4" t="inlineStr">
        <is>
          <t>Efetivo Concursado</t>
        </is>
      </c>
      <c r="D1240" s="4" t="inlineStr">
        <is>
          <t>SEC-SAU</t>
        </is>
      </c>
      <c r="E1240" s="6" t="n">
        <v>13314.65</v>
      </c>
      <c r="F1240" s="6">
        <f>E1240*0.22</f>
        <v/>
      </c>
      <c r="G1240" s="6">
        <f>E1240+F1240</f>
        <v/>
      </c>
      <c r="H1240" s="10" t="n">
        <v>5</v>
      </c>
      <c r="I1240" s="7">
        <f>H1240/(180*0.714)</f>
        <v/>
      </c>
    </row>
    <row r="1241">
      <c r="A1241" s="4" t="inlineStr">
        <is>
          <t>SERV-11237</t>
        </is>
      </c>
      <c r="B1241" s="5" t="inlineStr">
        <is>
          <t>Médico / Enfermeiro da Saúde da Família</t>
        </is>
      </c>
      <c r="C1241" s="4" t="inlineStr">
        <is>
          <t>Efetivo Concursado</t>
        </is>
      </c>
      <c r="D1241" s="4" t="inlineStr">
        <is>
          <t>SEC-SAU</t>
        </is>
      </c>
      <c r="E1241" s="6" t="n">
        <v>13946.31</v>
      </c>
      <c r="F1241" s="6">
        <f>E1241*0.22</f>
        <v/>
      </c>
      <c r="G1241" s="6">
        <f>E1241+F1241</f>
        <v/>
      </c>
      <c r="H1241" s="10" t="n">
        <v>4</v>
      </c>
      <c r="I1241" s="7">
        <f>H1241/(180*0.714)</f>
        <v/>
      </c>
    </row>
    <row r="1242">
      <c r="A1242" s="4" t="inlineStr">
        <is>
          <t>SERV-11238</t>
        </is>
      </c>
      <c r="B1242" s="5" t="inlineStr">
        <is>
          <t>Médico / Enfermeiro da Saúde da Família</t>
        </is>
      </c>
      <c r="C1242" s="4" t="inlineStr">
        <is>
          <t>Efetivo Concursado</t>
        </is>
      </c>
      <c r="D1242" s="4" t="inlineStr">
        <is>
          <t>SEC-SAU</t>
        </is>
      </c>
      <c r="E1242" s="6" t="n">
        <v>14217.56</v>
      </c>
      <c r="F1242" s="6">
        <f>E1242*0.22</f>
        <v/>
      </c>
      <c r="G1242" s="6">
        <f>E1242+F1242</f>
        <v/>
      </c>
      <c r="H1242" s="10" t="n">
        <v>2</v>
      </c>
      <c r="I1242" s="7">
        <f>H1242/(180*0.714)</f>
        <v/>
      </c>
    </row>
    <row r="1243">
      <c r="A1243" s="4" t="inlineStr">
        <is>
          <t>SERV-11239</t>
        </is>
      </c>
      <c r="B1243" s="5" t="inlineStr">
        <is>
          <t>Médico / Enfermeiro da Saúde da Família</t>
        </is>
      </c>
      <c r="C1243" s="4" t="inlineStr">
        <is>
          <t>Efetivo Concursado</t>
        </is>
      </c>
      <c r="D1243" s="4" t="inlineStr">
        <is>
          <t>SEC-SAU</t>
        </is>
      </c>
      <c r="E1243" s="6" t="n">
        <v>13130.9</v>
      </c>
      <c r="F1243" s="6">
        <f>E1243*0.22</f>
        <v/>
      </c>
      <c r="G1243" s="6">
        <f>E1243+F1243</f>
        <v/>
      </c>
      <c r="H1243" s="10" t="n">
        <v>1</v>
      </c>
      <c r="I1243" s="7">
        <f>H1243/(180*0.714)</f>
        <v/>
      </c>
    </row>
    <row r="1244">
      <c r="A1244" s="4" t="inlineStr">
        <is>
          <t>SERV-11240</t>
        </is>
      </c>
      <c r="B1244" s="5" t="inlineStr">
        <is>
          <t>Médico / Enfermeiro da Saúde da Família</t>
        </is>
      </c>
      <c r="C1244" s="4" t="inlineStr">
        <is>
          <t>Efetivo Concursado</t>
        </is>
      </c>
      <c r="D1244" s="4" t="inlineStr">
        <is>
          <t>SEC-SAU</t>
        </is>
      </c>
      <c r="E1244" s="6" t="n">
        <v>12436.81</v>
      </c>
      <c r="F1244" s="6">
        <f>E1244*0.22</f>
        <v/>
      </c>
      <c r="G1244" s="6">
        <f>E1244+F1244</f>
        <v/>
      </c>
      <c r="H1244" s="10" t="n">
        <v>5</v>
      </c>
      <c r="I1244" s="7">
        <f>H1244/(180*0.714)</f>
        <v/>
      </c>
    </row>
    <row r="1245">
      <c r="A1245" s="4" t="inlineStr">
        <is>
          <t>SERV-11241</t>
        </is>
      </c>
      <c r="B1245" s="5" t="inlineStr">
        <is>
          <t>Médico / Enfermeiro da Saúde da Família</t>
        </is>
      </c>
      <c r="C1245" s="4" t="inlineStr">
        <is>
          <t>Efetivo Concursado</t>
        </is>
      </c>
      <c r="D1245" s="4" t="inlineStr">
        <is>
          <t>SEC-SAU</t>
        </is>
      </c>
      <c r="E1245" s="6" t="n">
        <v>12998.59</v>
      </c>
      <c r="F1245" s="6">
        <f>E1245*0.22</f>
        <v/>
      </c>
      <c r="G1245" s="6">
        <f>E1245+F1245</f>
        <v/>
      </c>
      <c r="H1245" s="10" t="n">
        <v>3</v>
      </c>
      <c r="I1245" s="7">
        <f>H1245/(180*0.714)</f>
        <v/>
      </c>
    </row>
    <row r="1246">
      <c r="A1246" s="4" t="inlineStr">
        <is>
          <t>SERV-11242</t>
        </is>
      </c>
      <c r="B1246" s="5" t="inlineStr">
        <is>
          <t>Médico / Enfermeiro da Saúde da Família</t>
        </is>
      </c>
      <c r="C1246" s="4" t="inlineStr">
        <is>
          <t>Efetivo Concursado</t>
        </is>
      </c>
      <c r="D1246" s="4" t="inlineStr">
        <is>
          <t>SEC-SAU</t>
        </is>
      </c>
      <c r="E1246" s="6" t="n">
        <v>12741.2</v>
      </c>
      <c r="F1246" s="6">
        <f>E1246*0.22</f>
        <v/>
      </c>
      <c r="G1246" s="6">
        <f>E1246+F1246</f>
        <v/>
      </c>
      <c r="H1246" s="10" t="n">
        <v>1</v>
      </c>
      <c r="I1246" s="7">
        <f>H1246/(180*0.714)</f>
        <v/>
      </c>
    </row>
    <row r="1247">
      <c r="A1247" s="4" t="inlineStr">
        <is>
          <t>SERV-11243</t>
        </is>
      </c>
      <c r="B1247" s="5" t="inlineStr">
        <is>
          <t>Médico / Enfermeiro da Saúde da Família</t>
        </is>
      </c>
      <c r="C1247" s="4" t="inlineStr">
        <is>
          <t>Efetivo Concursado</t>
        </is>
      </c>
      <c r="D1247" s="4" t="inlineStr">
        <is>
          <t>SEC-SAU</t>
        </is>
      </c>
      <c r="E1247" s="6" t="n">
        <v>14183.7</v>
      </c>
      <c r="F1247" s="6">
        <f>E1247*0.22</f>
        <v/>
      </c>
      <c r="G1247" s="6">
        <f>E1247+F1247</f>
        <v/>
      </c>
      <c r="H1247" s="10" t="n">
        <v>2</v>
      </c>
      <c r="I1247" s="7">
        <f>H1247/(180*0.714)</f>
        <v/>
      </c>
    </row>
    <row r="1248">
      <c r="A1248" s="4" t="inlineStr">
        <is>
          <t>SERV-11244</t>
        </is>
      </c>
      <c r="B1248" s="5" t="inlineStr">
        <is>
          <t>Médico / Enfermeiro da Saúde da Família</t>
        </is>
      </c>
      <c r="C1248" s="4" t="inlineStr">
        <is>
          <t>Efetivo Concursado</t>
        </is>
      </c>
      <c r="D1248" s="4" t="inlineStr">
        <is>
          <t>SEC-SAU</t>
        </is>
      </c>
      <c r="E1248" s="6" t="n">
        <v>13496.86</v>
      </c>
      <c r="F1248" s="6">
        <f>E1248*0.22</f>
        <v/>
      </c>
      <c r="G1248" s="6">
        <f>E1248+F1248</f>
        <v/>
      </c>
      <c r="H1248" s="10" t="n">
        <v>2</v>
      </c>
      <c r="I1248" s="7">
        <f>H1248/(180*0.714)</f>
        <v/>
      </c>
    </row>
    <row r="1249">
      <c r="A1249" s="4" t="inlineStr">
        <is>
          <t>SERV-11245</t>
        </is>
      </c>
      <c r="B1249" s="5" t="inlineStr">
        <is>
          <t>Médico / Enfermeiro da Saúde da Família</t>
        </is>
      </c>
      <c r="C1249" s="4" t="inlineStr">
        <is>
          <t>Efetivo Concursado</t>
        </is>
      </c>
      <c r="D1249" s="4" t="inlineStr">
        <is>
          <t>SEC-SAU</t>
        </is>
      </c>
      <c r="E1249" s="6" t="n">
        <v>13496.1</v>
      </c>
      <c r="F1249" s="6">
        <f>E1249*0.22</f>
        <v/>
      </c>
      <c r="G1249" s="6">
        <f>E1249+F1249</f>
        <v/>
      </c>
      <c r="H1249" s="10" t="n">
        <v>1</v>
      </c>
      <c r="I1249" s="7">
        <f>H1249/(180*0.714)</f>
        <v/>
      </c>
    </row>
    <row r="1250">
      <c r="A1250" s="4" t="inlineStr">
        <is>
          <t>SERV-11246</t>
        </is>
      </c>
      <c r="B1250" s="5" t="inlineStr">
        <is>
          <t>Médico / Enfermeiro da Saúde da Família</t>
        </is>
      </c>
      <c r="C1250" s="4" t="inlineStr">
        <is>
          <t>Efetivo Concursado</t>
        </is>
      </c>
      <c r="D1250" s="4" t="inlineStr">
        <is>
          <t>SEC-SAU</t>
        </is>
      </c>
      <c r="E1250" s="6" t="n">
        <v>12321.25</v>
      </c>
      <c r="F1250" s="6">
        <f>E1250*0.22</f>
        <v/>
      </c>
      <c r="G1250" s="6">
        <f>E1250+F1250</f>
        <v/>
      </c>
      <c r="H1250" s="10" t="n">
        <v>2</v>
      </c>
      <c r="I1250" s="7">
        <f>H1250/(180*0.714)</f>
        <v/>
      </c>
    </row>
    <row r="1251">
      <c r="A1251" s="4" t="inlineStr">
        <is>
          <t>SERV-11247</t>
        </is>
      </c>
      <c r="B1251" s="5" t="inlineStr">
        <is>
          <t>Médico / Enfermeiro da Saúde da Família</t>
        </is>
      </c>
      <c r="C1251" s="4" t="inlineStr">
        <is>
          <t>Efetivo Concursado</t>
        </is>
      </c>
      <c r="D1251" s="4" t="inlineStr">
        <is>
          <t>SEC-SAU</t>
        </is>
      </c>
      <c r="E1251" s="6" t="n">
        <v>13198.11</v>
      </c>
      <c r="F1251" s="6">
        <f>E1251*0.22</f>
        <v/>
      </c>
      <c r="G1251" s="6">
        <f>E1251+F1251</f>
        <v/>
      </c>
      <c r="H1251" s="10" t="n">
        <v>5</v>
      </c>
      <c r="I1251" s="7">
        <f>H1251/(180*0.714)</f>
        <v/>
      </c>
    </row>
    <row r="1252">
      <c r="A1252" s="4" t="inlineStr">
        <is>
          <t>SERV-11248</t>
        </is>
      </c>
      <c r="B1252" s="5" t="inlineStr">
        <is>
          <t>Médico / Enfermeiro da Saúde da Família</t>
        </is>
      </c>
      <c r="C1252" s="4" t="inlineStr">
        <is>
          <t>Efetivo Concursado</t>
        </is>
      </c>
      <c r="D1252" s="4" t="inlineStr">
        <is>
          <t>SEC-SAU</t>
        </is>
      </c>
      <c r="E1252" s="6" t="n">
        <v>14066.49</v>
      </c>
      <c r="F1252" s="6">
        <f>E1252*0.22</f>
        <v/>
      </c>
      <c r="G1252" s="6">
        <f>E1252+F1252</f>
        <v/>
      </c>
      <c r="H1252" s="10" t="n">
        <v>2</v>
      </c>
      <c r="I1252" s="7">
        <f>H1252/(180*0.714)</f>
        <v/>
      </c>
    </row>
    <row r="1253">
      <c r="A1253" s="4" t="inlineStr">
        <is>
          <t>SERV-11249</t>
        </is>
      </c>
      <c r="B1253" s="5" t="inlineStr">
        <is>
          <t>Médico / Enfermeiro da Saúde da Família</t>
        </is>
      </c>
      <c r="C1253" s="4" t="inlineStr">
        <is>
          <t>Efetivo Concursado</t>
        </is>
      </c>
      <c r="D1253" s="4" t="inlineStr">
        <is>
          <t>SEC-SAU</t>
        </is>
      </c>
      <c r="E1253" s="6" t="n">
        <v>13499.59</v>
      </c>
      <c r="F1253" s="6">
        <f>E1253*0.22</f>
        <v/>
      </c>
      <c r="G1253" s="6">
        <f>E1253+F1253</f>
        <v/>
      </c>
      <c r="H1253" s="10" t="n">
        <v>2</v>
      </c>
      <c r="I1253" s="7">
        <f>H1253/(180*0.714)</f>
        <v/>
      </c>
    </row>
    <row r="1254">
      <c r="A1254" s="4" t="inlineStr">
        <is>
          <t>SERV-11250</t>
        </is>
      </c>
      <c r="B1254" s="5" t="inlineStr">
        <is>
          <t>Médico / Enfermeiro da Saúde da Família</t>
        </is>
      </c>
      <c r="C1254" s="4" t="inlineStr">
        <is>
          <t>Efetivo Concursado</t>
        </is>
      </c>
      <c r="D1254" s="4" t="inlineStr">
        <is>
          <t>SEC-SAU</t>
        </is>
      </c>
      <c r="E1254" s="6" t="n">
        <v>13470.36</v>
      </c>
      <c r="F1254" s="6">
        <f>E1254*0.22</f>
        <v/>
      </c>
      <c r="G1254" s="6">
        <f>E1254+F1254</f>
        <v/>
      </c>
      <c r="H1254" s="10" t="n">
        <v>2</v>
      </c>
      <c r="I1254" s="7">
        <f>H1254/(180*0.714)</f>
        <v/>
      </c>
    </row>
    <row r="1255">
      <c r="A1255" s="4" t="inlineStr">
        <is>
          <t>SERV-11251</t>
        </is>
      </c>
      <c r="B1255" s="5" t="inlineStr">
        <is>
          <t>Médico / Enfermeiro da Saúde da Família</t>
        </is>
      </c>
      <c r="C1255" s="4" t="inlineStr">
        <is>
          <t>Efetivo Concursado</t>
        </is>
      </c>
      <c r="D1255" s="4" t="inlineStr">
        <is>
          <t>SEC-SAU</t>
        </is>
      </c>
      <c r="E1255" s="6" t="n">
        <v>12621.4</v>
      </c>
      <c r="F1255" s="6">
        <f>E1255*0.22</f>
        <v/>
      </c>
      <c r="G1255" s="6">
        <f>E1255+F1255</f>
        <v/>
      </c>
      <c r="H1255" s="10" t="n">
        <v>2</v>
      </c>
      <c r="I1255" s="7">
        <f>H1255/(180*0.714)</f>
        <v/>
      </c>
    </row>
    <row r="1256">
      <c r="A1256" s="4" t="inlineStr">
        <is>
          <t>SERV-11252</t>
        </is>
      </c>
      <c r="B1256" s="5" t="inlineStr">
        <is>
          <t>Médico / Enfermeiro da Saúde da Família</t>
        </is>
      </c>
      <c r="C1256" s="4" t="inlineStr">
        <is>
          <t>Efetivo Concursado</t>
        </is>
      </c>
      <c r="D1256" s="4" t="inlineStr">
        <is>
          <t>SEC-SAU</t>
        </is>
      </c>
      <c r="E1256" s="6" t="n">
        <v>12971.22</v>
      </c>
      <c r="F1256" s="6">
        <f>E1256*0.22</f>
        <v/>
      </c>
      <c r="G1256" s="6">
        <f>E1256+F1256</f>
        <v/>
      </c>
      <c r="H1256" s="10" t="n">
        <v>4</v>
      </c>
      <c r="I1256" s="7">
        <f>H1256/(180*0.714)</f>
        <v/>
      </c>
    </row>
    <row r="1257">
      <c r="A1257" s="4" t="inlineStr">
        <is>
          <t>SERV-11253</t>
        </is>
      </c>
      <c r="B1257" s="5" t="inlineStr">
        <is>
          <t>Médico / Enfermeiro da Saúde da Família</t>
        </is>
      </c>
      <c r="C1257" s="4" t="inlineStr">
        <is>
          <t>Efetivo Concursado</t>
        </is>
      </c>
      <c r="D1257" s="4" t="inlineStr">
        <is>
          <t>SEC-SAU</t>
        </is>
      </c>
      <c r="E1257" s="6" t="n">
        <v>13155.11</v>
      </c>
      <c r="F1257" s="6">
        <f>E1257*0.22</f>
        <v/>
      </c>
      <c r="G1257" s="6">
        <f>E1257+F1257</f>
        <v/>
      </c>
      <c r="H1257" s="10" t="n">
        <v>1</v>
      </c>
      <c r="I1257" s="7">
        <f>H1257/(180*0.714)</f>
        <v/>
      </c>
    </row>
    <row r="1258">
      <c r="A1258" s="4" t="inlineStr">
        <is>
          <t>SERV-11254</t>
        </is>
      </c>
      <c r="B1258" s="5" t="inlineStr">
        <is>
          <t>Médico / Enfermeiro da Saúde da Família</t>
        </is>
      </c>
      <c r="C1258" s="4" t="inlineStr">
        <is>
          <t>Efetivo Concursado</t>
        </is>
      </c>
      <c r="D1258" s="4" t="inlineStr">
        <is>
          <t>SEC-SAU</t>
        </is>
      </c>
      <c r="E1258" s="6" t="n">
        <v>14225.32</v>
      </c>
      <c r="F1258" s="6">
        <f>E1258*0.22</f>
        <v/>
      </c>
      <c r="G1258" s="6">
        <f>E1258+F1258</f>
        <v/>
      </c>
      <c r="H1258" s="10" t="n">
        <v>3</v>
      </c>
      <c r="I1258" s="7">
        <f>H1258/(180*0.714)</f>
        <v/>
      </c>
    </row>
    <row r="1259">
      <c r="A1259" s="4" t="inlineStr">
        <is>
          <t>SERV-11255</t>
        </is>
      </c>
      <c r="B1259" s="5" t="inlineStr">
        <is>
          <t>Médico / Enfermeiro da Saúde da Família</t>
        </is>
      </c>
      <c r="C1259" s="4" t="inlineStr">
        <is>
          <t>Efetivo Concursado</t>
        </is>
      </c>
      <c r="D1259" s="4" t="inlineStr">
        <is>
          <t>SEC-SAU</t>
        </is>
      </c>
      <c r="E1259" s="6" t="n">
        <v>13395.48</v>
      </c>
      <c r="F1259" s="6">
        <f>E1259*0.22</f>
        <v/>
      </c>
      <c r="G1259" s="6">
        <f>E1259+F1259</f>
        <v/>
      </c>
      <c r="H1259" s="10" t="n">
        <v>5</v>
      </c>
      <c r="I1259" s="7">
        <f>H1259/(180*0.714)</f>
        <v/>
      </c>
    </row>
    <row r="1260">
      <c r="A1260" s="4" t="inlineStr">
        <is>
          <t>SERV-11256</t>
        </is>
      </c>
      <c r="B1260" s="5" t="inlineStr">
        <is>
          <t>Médico / Enfermeiro da Saúde da Família</t>
        </is>
      </c>
      <c r="C1260" s="4" t="inlineStr">
        <is>
          <t>Efetivo Concursado</t>
        </is>
      </c>
      <c r="D1260" s="4" t="inlineStr">
        <is>
          <t>SEC-SAU</t>
        </is>
      </c>
      <c r="E1260" s="6" t="n">
        <v>13773.36</v>
      </c>
      <c r="F1260" s="6">
        <f>E1260*0.22</f>
        <v/>
      </c>
      <c r="G1260" s="6">
        <f>E1260+F1260</f>
        <v/>
      </c>
      <c r="H1260" s="10" t="n">
        <v>1</v>
      </c>
      <c r="I1260" s="7">
        <f>H1260/(180*0.714)</f>
        <v/>
      </c>
    </row>
    <row r="1261">
      <c r="A1261" s="4" t="inlineStr">
        <is>
          <t>SERV-11257</t>
        </is>
      </c>
      <c r="B1261" s="5" t="inlineStr">
        <is>
          <t>Médico / Enfermeiro da Saúde da Família</t>
        </is>
      </c>
      <c r="C1261" s="4" t="inlineStr">
        <is>
          <t>Efetivo Concursado</t>
        </is>
      </c>
      <c r="D1261" s="4" t="inlineStr">
        <is>
          <t>SEC-SAU</t>
        </is>
      </c>
      <c r="E1261" s="6" t="n">
        <v>14307.99</v>
      </c>
      <c r="F1261" s="6">
        <f>E1261*0.22</f>
        <v/>
      </c>
      <c r="G1261" s="6">
        <f>E1261+F1261</f>
        <v/>
      </c>
      <c r="H1261" s="10" t="n">
        <v>3</v>
      </c>
      <c r="I1261" s="7">
        <f>H1261/(180*0.714)</f>
        <v/>
      </c>
    </row>
    <row r="1262">
      <c r="A1262" s="4" t="inlineStr">
        <is>
          <t>SERV-11258</t>
        </is>
      </c>
      <c r="B1262" s="5" t="inlineStr">
        <is>
          <t>Médico / Enfermeiro da Saúde da Família</t>
        </is>
      </c>
      <c r="C1262" s="4" t="inlineStr">
        <is>
          <t>Efetivo Concursado</t>
        </is>
      </c>
      <c r="D1262" s="4" t="inlineStr">
        <is>
          <t>SEC-SAU</t>
        </is>
      </c>
      <c r="E1262" s="6" t="n">
        <v>14106.83</v>
      </c>
      <c r="F1262" s="6">
        <f>E1262*0.22</f>
        <v/>
      </c>
      <c r="G1262" s="6">
        <f>E1262+F1262</f>
        <v/>
      </c>
      <c r="H1262" s="10" t="n">
        <v>1</v>
      </c>
      <c r="I1262" s="7">
        <f>H1262/(180*0.714)</f>
        <v/>
      </c>
    </row>
    <row r="1263">
      <c r="A1263" s="4" t="inlineStr">
        <is>
          <t>SERV-11259</t>
        </is>
      </c>
      <c r="B1263" s="5" t="inlineStr">
        <is>
          <t>Médico / Enfermeiro da Saúde da Família</t>
        </is>
      </c>
      <c r="C1263" s="4" t="inlineStr">
        <is>
          <t>Efetivo Concursado</t>
        </is>
      </c>
      <c r="D1263" s="4" t="inlineStr">
        <is>
          <t>SEC-SAU</t>
        </is>
      </c>
      <c r="E1263" s="6" t="n">
        <v>11932.44</v>
      </c>
      <c r="F1263" s="6">
        <f>E1263*0.22</f>
        <v/>
      </c>
      <c r="G1263" s="6">
        <f>E1263+F1263</f>
        <v/>
      </c>
      <c r="H1263" s="10" t="n">
        <v>5</v>
      </c>
      <c r="I1263" s="7">
        <f>H1263/(180*0.714)</f>
        <v/>
      </c>
    </row>
    <row r="1264">
      <c r="A1264" s="4" t="inlineStr">
        <is>
          <t>SERV-11260</t>
        </is>
      </c>
      <c r="B1264" s="5" t="inlineStr">
        <is>
          <t>Médico / Enfermeiro da Saúde da Família</t>
        </is>
      </c>
      <c r="C1264" s="4" t="inlineStr">
        <is>
          <t>Efetivo Concursado</t>
        </is>
      </c>
      <c r="D1264" s="4" t="inlineStr">
        <is>
          <t>SEC-SAU</t>
        </is>
      </c>
      <c r="E1264" s="6" t="n">
        <v>12913.21</v>
      </c>
      <c r="F1264" s="6">
        <f>E1264*0.22</f>
        <v/>
      </c>
      <c r="G1264" s="6">
        <f>E1264+F1264</f>
        <v/>
      </c>
      <c r="H1264" s="10" t="n">
        <v>1</v>
      </c>
      <c r="I1264" s="7">
        <f>H1264/(180*0.714)</f>
        <v/>
      </c>
    </row>
    <row r="1265">
      <c r="A1265" s="4" t="inlineStr">
        <is>
          <t>SERV-11261</t>
        </is>
      </c>
      <c r="B1265" s="5" t="inlineStr">
        <is>
          <t>Médico / Enfermeiro da Saúde da Família</t>
        </is>
      </c>
      <c r="C1265" s="4" t="inlineStr">
        <is>
          <t>Efetivo Concursado</t>
        </is>
      </c>
      <c r="D1265" s="4" t="inlineStr">
        <is>
          <t>SEC-SAU</t>
        </is>
      </c>
      <c r="E1265" s="6" t="n">
        <v>11963.94</v>
      </c>
      <c r="F1265" s="6">
        <f>E1265*0.22</f>
        <v/>
      </c>
      <c r="G1265" s="6">
        <f>E1265+F1265</f>
        <v/>
      </c>
      <c r="H1265" s="10" t="n">
        <v>1</v>
      </c>
      <c r="I1265" s="7">
        <f>H1265/(180*0.714)</f>
        <v/>
      </c>
    </row>
    <row r="1266">
      <c r="A1266" s="4" t="inlineStr">
        <is>
          <t>SERV-11262</t>
        </is>
      </c>
      <c r="B1266" s="5" t="inlineStr">
        <is>
          <t>Médico / Enfermeiro da Saúde da Família</t>
        </is>
      </c>
      <c r="C1266" s="4" t="inlineStr">
        <is>
          <t>Efetivo Concursado</t>
        </is>
      </c>
      <c r="D1266" s="4" t="inlineStr">
        <is>
          <t>SEC-SAU</t>
        </is>
      </c>
      <c r="E1266" s="6" t="n">
        <v>12248.02</v>
      </c>
      <c r="F1266" s="6">
        <f>E1266*0.22</f>
        <v/>
      </c>
      <c r="G1266" s="6">
        <f>E1266+F1266</f>
        <v/>
      </c>
      <c r="H1266" s="10" t="n">
        <v>4</v>
      </c>
      <c r="I1266" s="7">
        <f>H1266/(180*0.714)</f>
        <v/>
      </c>
    </row>
    <row r="1267">
      <c r="A1267" s="4" t="inlineStr">
        <is>
          <t>SERV-11263</t>
        </is>
      </c>
      <c r="B1267" s="5" t="inlineStr">
        <is>
          <t>Médico / Enfermeiro da Saúde da Família</t>
        </is>
      </c>
      <c r="C1267" s="4" t="inlineStr">
        <is>
          <t>Efetivo Concursado</t>
        </is>
      </c>
      <c r="D1267" s="4" t="inlineStr">
        <is>
          <t>SEC-SAU</t>
        </is>
      </c>
      <c r="E1267" s="6" t="n">
        <v>14096.85</v>
      </c>
      <c r="F1267" s="6">
        <f>E1267*0.22</f>
        <v/>
      </c>
      <c r="G1267" s="6">
        <f>E1267+F1267</f>
        <v/>
      </c>
      <c r="H1267" s="10" t="n">
        <v>4</v>
      </c>
      <c r="I1267" s="7">
        <f>H1267/(180*0.714)</f>
        <v/>
      </c>
    </row>
    <row r="1268">
      <c r="A1268" s="4" t="inlineStr">
        <is>
          <t>SERV-11264</t>
        </is>
      </c>
      <c r="B1268" s="5" t="inlineStr">
        <is>
          <t>Médico / Enfermeiro da Saúde da Família</t>
        </is>
      </c>
      <c r="C1268" s="4" t="inlineStr">
        <is>
          <t>Efetivo Concursado</t>
        </is>
      </c>
      <c r="D1268" s="4" t="inlineStr">
        <is>
          <t>SEC-SAU</t>
        </is>
      </c>
      <c r="E1268" s="6" t="n">
        <v>11823.25</v>
      </c>
      <c r="F1268" s="6">
        <f>E1268*0.22</f>
        <v/>
      </c>
      <c r="G1268" s="6">
        <f>E1268+F1268</f>
        <v/>
      </c>
      <c r="H1268" s="10" t="n">
        <v>2</v>
      </c>
      <c r="I1268" s="7">
        <f>H1268/(180*0.714)</f>
        <v/>
      </c>
    </row>
    <row r="1269">
      <c r="A1269" s="4" t="inlineStr">
        <is>
          <t>SERV-11265</t>
        </is>
      </c>
      <c r="B1269" s="5" t="inlineStr">
        <is>
          <t>Médico / Enfermeiro da Saúde da Família</t>
        </is>
      </c>
      <c r="C1269" s="4" t="inlineStr">
        <is>
          <t>Efetivo Concursado</t>
        </is>
      </c>
      <c r="D1269" s="4" t="inlineStr">
        <is>
          <t>SEC-SAU</t>
        </is>
      </c>
      <c r="E1269" s="6" t="n">
        <v>13573.93</v>
      </c>
      <c r="F1269" s="6">
        <f>E1269*0.22</f>
        <v/>
      </c>
      <c r="G1269" s="6">
        <f>E1269+F1269</f>
        <v/>
      </c>
      <c r="H1269" s="10" t="n">
        <v>3</v>
      </c>
      <c r="I1269" s="7">
        <f>H1269/(180*0.714)</f>
        <v/>
      </c>
    </row>
    <row r="1270">
      <c r="A1270" s="4" t="inlineStr">
        <is>
          <t>SERV-11266</t>
        </is>
      </c>
      <c r="B1270" s="5" t="inlineStr">
        <is>
          <t>Médico / Enfermeiro da Saúde da Família</t>
        </is>
      </c>
      <c r="C1270" s="4" t="inlineStr">
        <is>
          <t>Efetivo Concursado</t>
        </is>
      </c>
      <c r="D1270" s="4" t="inlineStr">
        <is>
          <t>SEC-SAU</t>
        </is>
      </c>
      <c r="E1270" s="6" t="n">
        <v>11817.99</v>
      </c>
      <c r="F1270" s="6">
        <f>E1270*0.22</f>
        <v/>
      </c>
      <c r="G1270" s="6">
        <f>E1270+F1270</f>
        <v/>
      </c>
      <c r="H1270" s="10" t="n">
        <v>2</v>
      </c>
      <c r="I1270" s="7">
        <f>H1270/(180*0.714)</f>
        <v/>
      </c>
    </row>
    <row r="1271">
      <c r="A1271" s="4" t="inlineStr">
        <is>
          <t>SERV-11267</t>
        </is>
      </c>
      <c r="B1271" s="5" t="inlineStr">
        <is>
          <t>Médico / Enfermeiro da Saúde da Família</t>
        </is>
      </c>
      <c r="C1271" s="4" t="inlineStr">
        <is>
          <t>Efetivo Concursado</t>
        </is>
      </c>
      <c r="D1271" s="4" t="inlineStr">
        <is>
          <t>SEC-SAU</t>
        </is>
      </c>
      <c r="E1271" s="6" t="n">
        <v>13136.89</v>
      </c>
      <c r="F1271" s="6">
        <f>E1271*0.22</f>
        <v/>
      </c>
      <c r="G1271" s="6">
        <f>E1271+F1271</f>
        <v/>
      </c>
      <c r="H1271" s="10" t="n">
        <v>2</v>
      </c>
      <c r="I1271" s="7">
        <f>H1271/(180*0.714)</f>
        <v/>
      </c>
    </row>
    <row r="1272">
      <c r="A1272" s="4" t="inlineStr">
        <is>
          <t>SERV-11268</t>
        </is>
      </c>
      <c r="B1272" s="5" t="inlineStr">
        <is>
          <t>Médico / Enfermeiro da Saúde da Família</t>
        </is>
      </c>
      <c r="C1272" s="4" t="inlineStr">
        <is>
          <t>Efetivo Concursado</t>
        </is>
      </c>
      <c r="D1272" s="4" t="inlineStr">
        <is>
          <t>SEC-SAU</t>
        </is>
      </c>
      <c r="E1272" s="6" t="n">
        <v>14066.45</v>
      </c>
      <c r="F1272" s="6">
        <f>E1272*0.22</f>
        <v/>
      </c>
      <c r="G1272" s="6">
        <f>E1272+F1272</f>
        <v/>
      </c>
      <c r="H1272" s="10" t="n">
        <v>3</v>
      </c>
      <c r="I1272" s="7">
        <f>H1272/(180*0.714)</f>
        <v/>
      </c>
    </row>
    <row r="1273">
      <c r="A1273" s="4" t="inlineStr">
        <is>
          <t>SERV-11269</t>
        </is>
      </c>
      <c r="B1273" s="5" t="inlineStr">
        <is>
          <t>Médico / Enfermeiro da Saúde da Família</t>
        </is>
      </c>
      <c r="C1273" s="4" t="inlineStr">
        <is>
          <t>Efetivo Concursado</t>
        </is>
      </c>
      <c r="D1273" s="4" t="inlineStr">
        <is>
          <t>SEC-SAU</t>
        </is>
      </c>
      <c r="E1273" s="6" t="n">
        <v>13467.14</v>
      </c>
      <c r="F1273" s="6">
        <f>E1273*0.22</f>
        <v/>
      </c>
      <c r="G1273" s="6">
        <f>E1273+F1273</f>
        <v/>
      </c>
      <c r="H1273" s="10" t="n">
        <v>2</v>
      </c>
      <c r="I1273" s="7">
        <f>H1273/(180*0.714)</f>
        <v/>
      </c>
    </row>
    <row r="1274">
      <c r="A1274" s="4" t="inlineStr">
        <is>
          <t>SERV-11270</t>
        </is>
      </c>
      <c r="B1274" s="5" t="inlineStr">
        <is>
          <t>Médico / Enfermeiro da Saúde da Família</t>
        </is>
      </c>
      <c r="C1274" s="4" t="inlineStr">
        <is>
          <t>Efetivo Concursado</t>
        </is>
      </c>
      <c r="D1274" s="4" t="inlineStr">
        <is>
          <t>SEC-SAU</t>
        </is>
      </c>
      <c r="E1274" s="6" t="n">
        <v>12015.66</v>
      </c>
      <c r="F1274" s="6">
        <f>E1274*0.22</f>
        <v/>
      </c>
      <c r="G1274" s="6">
        <f>E1274+F1274</f>
        <v/>
      </c>
      <c r="H1274" s="10" t="n">
        <v>1</v>
      </c>
      <c r="I1274" s="7">
        <f>H1274/(180*0.714)</f>
        <v/>
      </c>
    </row>
    <row r="1275">
      <c r="A1275" s="4" t="inlineStr">
        <is>
          <t>SERV-11271</t>
        </is>
      </c>
      <c r="B1275" s="5" t="inlineStr">
        <is>
          <t>Médico / Enfermeiro da Saúde da Família</t>
        </is>
      </c>
      <c r="C1275" s="4" t="inlineStr">
        <is>
          <t>Efetivo Concursado</t>
        </is>
      </c>
      <c r="D1275" s="4" t="inlineStr">
        <is>
          <t>SEC-SAU</t>
        </is>
      </c>
      <c r="E1275" s="6" t="n">
        <v>13173.81</v>
      </c>
      <c r="F1275" s="6">
        <f>E1275*0.22</f>
        <v/>
      </c>
      <c r="G1275" s="6">
        <f>E1275+F1275</f>
        <v/>
      </c>
      <c r="H1275" s="10" t="n">
        <v>1</v>
      </c>
      <c r="I1275" s="7">
        <f>H1275/(180*0.714)</f>
        <v/>
      </c>
    </row>
    <row r="1276">
      <c r="A1276" s="4" t="inlineStr">
        <is>
          <t>SERV-11272</t>
        </is>
      </c>
      <c r="B1276" s="5" t="inlineStr">
        <is>
          <t>Médico / Enfermeiro da Saúde da Família</t>
        </is>
      </c>
      <c r="C1276" s="4" t="inlineStr">
        <is>
          <t>Efetivo Concursado</t>
        </is>
      </c>
      <c r="D1276" s="4" t="inlineStr">
        <is>
          <t>SEC-SAU</t>
        </is>
      </c>
      <c r="E1276" s="6" t="n">
        <v>12249.82</v>
      </c>
      <c r="F1276" s="6">
        <f>E1276*0.22</f>
        <v/>
      </c>
      <c r="G1276" s="6">
        <f>E1276+F1276</f>
        <v/>
      </c>
      <c r="H1276" s="10" t="n">
        <v>5</v>
      </c>
      <c r="I1276" s="7">
        <f>H1276/(180*0.714)</f>
        <v/>
      </c>
    </row>
    <row r="1277">
      <c r="A1277" s="4" t="inlineStr">
        <is>
          <t>SERV-11273</t>
        </is>
      </c>
      <c r="B1277" s="5" t="inlineStr">
        <is>
          <t>Médico / Enfermeiro da Saúde da Família</t>
        </is>
      </c>
      <c r="C1277" s="4" t="inlineStr">
        <is>
          <t>Efetivo Concursado</t>
        </is>
      </c>
      <c r="D1277" s="4" t="inlineStr">
        <is>
          <t>SEC-SAU</t>
        </is>
      </c>
      <c r="E1277" s="6" t="n">
        <v>12177.49</v>
      </c>
      <c r="F1277" s="6">
        <f>E1277*0.22</f>
        <v/>
      </c>
      <c r="G1277" s="6">
        <f>E1277+F1277</f>
        <v/>
      </c>
      <c r="H1277" s="10" t="n">
        <v>3</v>
      </c>
      <c r="I1277" s="7">
        <f>H1277/(180*0.714)</f>
        <v/>
      </c>
    </row>
    <row r="1278">
      <c r="A1278" s="4" t="inlineStr">
        <is>
          <t>SERV-11274</t>
        </is>
      </c>
      <c r="B1278" s="5" t="inlineStr">
        <is>
          <t>Médico / Enfermeiro da Saúde da Família</t>
        </is>
      </c>
      <c r="C1278" s="4" t="inlineStr">
        <is>
          <t>Efetivo Concursado</t>
        </is>
      </c>
      <c r="D1278" s="4" t="inlineStr">
        <is>
          <t>SEC-SAU</t>
        </is>
      </c>
      <c r="E1278" s="6" t="n">
        <v>14199.54</v>
      </c>
      <c r="F1278" s="6">
        <f>E1278*0.22</f>
        <v/>
      </c>
      <c r="G1278" s="6">
        <f>E1278+F1278</f>
        <v/>
      </c>
      <c r="H1278" s="10" t="n">
        <v>4</v>
      </c>
      <c r="I1278" s="7">
        <f>H1278/(180*0.714)</f>
        <v/>
      </c>
    </row>
    <row r="1279">
      <c r="A1279" s="4" t="inlineStr">
        <is>
          <t>SERV-11275</t>
        </is>
      </c>
      <c r="B1279" s="5" t="inlineStr">
        <is>
          <t>Médico / Enfermeiro da Saúde da Família</t>
        </is>
      </c>
      <c r="C1279" s="4" t="inlineStr">
        <is>
          <t>Efetivo Concursado</t>
        </is>
      </c>
      <c r="D1279" s="4" t="inlineStr">
        <is>
          <t>SEC-SAU</t>
        </is>
      </c>
      <c r="E1279" s="6" t="n">
        <v>14335.3</v>
      </c>
      <c r="F1279" s="6">
        <f>E1279*0.22</f>
        <v/>
      </c>
      <c r="G1279" s="6">
        <f>E1279+F1279</f>
        <v/>
      </c>
      <c r="H1279" s="10" t="n">
        <v>4</v>
      </c>
      <c r="I1279" s="7">
        <f>H1279/(180*0.714)</f>
        <v/>
      </c>
    </row>
    <row r="1280">
      <c r="A1280" s="4" t="inlineStr">
        <is>
          <t>SERV-11276</t>
        </is>
      </c>
      <c r="B1280" s="5" t="inlineStr">
        <is>
          <t>Médico / Enfermeiro da Saúde da Família</t>
        </is>
      </c>
      <c r="C1280" s="4" t="inlineStr">
        <is>
          <t>Efetivo Concursado</t>
        </is>
      </c>
      <c r="D1280" s="4" t="inlineStr">
        <is>
          <t>SEC-SAU</t>
        </is>
      </c>
      <c r="E1280" s="6" t="n">
        <v>13278.13</v>
      </c>
      <c r="F1280" s="6">
        <f>E1280*0.22</f>
        <v/>
      </c>
      <c r="G1280" s="6">
        <f>E1280+F1280</f>
        <v/>
      </c>
      <c r="H1280" s="10" t="n">
        <v>4</v>
      </c>
      <c r="I1280" s="7">
        <f>H1280/(180*0.714)</f>
        <v/>
      </c>
    </row>
    <row r="1281">
      <c r="A1281" s="4" t="inlineStr">
        <is>
          <t>SERV-11277</t>
        </is>
      </c>
      <c r="B1281" s="5" t="inlineStr">
        <is>
          <t>Médico / Enfermeiro da Saúde da Família</t>
        </is>
      </c>
      <c r="C1281" s="4" t="inlineStr">
        <is>
          <t>Efetivo Concursado</t>
        </is>
      </c>
      <c r="D1281" s="4" t="inlineStr">
        <is>
          <t>SEC-SAU</t>
        </is>
      </c>
      <c r="E1281" s="6" t="n">
        <v>13571.73</v>
      </c>
      <c r="F1281" s="6">
        <f>E1281*0.22</f>
        <v/>
      </c>
      <c r="G1281" s="6">
        <f>E1281+F1281</f>
        <v/>
      </c>
      <c r="H1281" s="10" t="n">
        <v>4</v>
      </c>
      <c r="I1281" s="7">
        <f>H1281/(180*0.714)</f>
        <v/>
      </c>
    </row>
    <row r="1282">
      <c r="A1282" s="4" t="inlineStr">
        <is>
          <t>SERV-11278</t>
        </is>
      </c>
      <c r="B1282" s="5" t="inlineStr">
        <is>
          <t>Médico / Enfermeiro da Saúde da Família</t>
        </is>
      </c>
      <c r="C1282" s="4" t="inlineStr">
        <is>
          <t>Efetivo Concursado</t>
        </is>
      </c>
      <c r="D1282" s="4" t="inlineStr">
        <is>
          <t>SEC-SAU</t>
        </is>
      </c>
      <c r="E1282" s="6" t="n">
        <v>13061.97</v>
      </c>
      <c r="F1282" s="6">
        <f>E1282*0.22</f>
        <v/>
      </c>
      <c r="G1282" s="6">
        <f>E1282+F1282</f>
        <v/>
      </c>
      <c r="H1282" s="10" t="n">
        <v>5</v>
      </c>
      <c r="I1282" s="7">
        <f>H1282/(180*0.714)</f>
        <v/>
      </c>
    </row>
    <row r="1283">
      <c r="A1283" s="4" t="inlineStr">
        <is>
          <t>SERV-11279</t>
        </is>
      </c>
      <c r="B1283" s="5" t="inlineStr">
        <is>
          <t>Médico / Enfermeiro da Saúde da Família</t>
        </is>
      </c>
      <c r="C1283" s="4" t="inlineStr">
        <is>
          <t>Efetivo Concursado</t>
        </is>
      </c>
      <c r="D1283" s="4" t="inlineStr">
        <is>
          <t>SEC-SAU</t>
        </is>
      </c>
      <c r="E1283" s="6" t="n">
        <v>13281.62</v>
      </c>
      <c r="F1283" s="6">
        <f>E1283*0.22</f>
        <v/>
      </c>
      <c r="G1283" s="6">
        <f>E1283+F1283</f>
        <v/>
      </c>
      <c r="H1283" s="10" t="n">
        <v>2</v>
      </c>
      <c r="I1283" s="7">
        <f>H1283/(180*0.714)</f>
        <v/>
      </c>
    </row>
    <row r="1284">
      <c r="A1284" s="4" t="inlineStr">
        <is>
          <t>SERV-11280</t>
        </is>
      </c>
      <c r="B1284" s="5" t="inlineStr">
        <is>
          <t>Médico / Enfermeiro da Saúde da Família</t>
        </is>
      </c>
      <c r="C1284" s="4" t="inlineStr">
        <is>
          <t>Efetivo Concursado</t>
        </is>
      </c>
      <c r="D1284" s="4" t="inlineStr">
        <is>
          <t>SEC-SAU</t>
        </is>
      </c>
      <c r="E1284" s="6" t="n">
        <v>12761.1</v>
      </c>
      <c r="F1284" s="6">
        <f>E1284*0.22</f>
        <v/>
      </c>
      <c r="G1284" s="6">
        <f>E1284+F1284</f>
        <v/>
      </c>
      <c r="H1284" s="10" t="n">
        <v>1</v>
      </c>
      <c r="I1284" s="7">
        <f>H1284/(180*0.714)</f>
        <v/>
      </c>
    </row>
    <row r="1285">
      <c r="A1285" s="4" t="inlineStr">
        <is>
          <t>SERV-11281</t>
        </is>
      </c>
      <c r="B1285" s="5" t="inlineStr">
        <is>
          <t>Médico / Enfermeiro da Saúde da Família</t>
        </is>
      </c>
      <c r="C1285" s="4" t="inlineStr">
        <is>
          <t>Efetivo Concursado</t>
        </is>
      </c>
      <c r="D1285" s="4" t="inlineStr">
        <is>
          <t>SEC-SAU</t>
        </is>
      </c>
      <c r="E1285" s="6" t="n">
        <v>12229.71</v>
      </c>
      <c r="F1285" s="6">
        <f>E1285*0.22</f>
        <v/>
      </c>
      <c r="G1285" s="6">
        <f>E1285+F1285</f>
        <v/>
      </c>
      <c r="H1285" s="10" t="n">
        <v>3</v>
      </c>
      <c r="I1285" s="7">
        <f>H1285/(180*0.714)</f>
        <v/>
      </c>
    </row>
    <row r="1286">
      <c r="A1286" s="4" t="inlineStr">
        <is>
          <t>SERV-11282</t>
        </is>
      </c>
      <c r="B1286" s="5" t="inlineStr">
        <is>
          <t>Médico / Enfermeiro da Saúde da Família</t>
        </is>
      </c>
      <c r="C1286" s="4" t="inlineStr">
        <is>
          <t>Efetivo Concursado</t>
        </is>
      </c>
      <c r="D1286" s="4" t="inlineStr">
        <is>
          <t>SEC-SAU</t>
        </is>
      </c>
      <c r="E1286" s="6" t="n">
        <v>13057.87</v>
      </c>
      <c r="F1286" s="6">
        <f>E1286*0.22</f>
        <v/>
      </c>
      <c r="G1286" s="6">
        <f>E1286+F1286</f>
        <v/>
      </c>
      <c r="H1286" s="10" t="n">
        <v>1</v>
      </c>
      <c r="I1286" s="7">
        <f>H1286/(180*0.714)</f>
        <v/>
      </c>
    </row>
    <row r="1287">
      <c r="A1287" s="4" t="inlineStr">
        <is>
          <t>SERV-11283</t>
        </is>
      </c>
      <c r="B1287" s="5" t="inlineStr">
        <is>
          <t>Médico / Enfermeiro da Saúde da Família</t>
        </is>
      </c>
      <c r="C1287" s="4" t="inlineStr">
        <is>
          <t>Efetivo Concursado</t>
        </is>
      </c>
      <c r="D1287" s="4" t="inlineStr">
        <is>
          <t>SEC-SAU</t>
        </is>
      </c>
      <c r="E1287" s="6" t="n">
        <v>12354.06</v>
      </c>
      <c r="F1287" s="6">
        <f>E1287*0.22</f>
        <v/>
      </c>
      <c r="G1287" s="6">
        <f>E1287+F1287</f>
        <v/>
      </c>
      <c r="H1287" s="10" t="n">
        <v>3</v>
      </c>
      <c r="I1287" s="7">
        <f>H1287/(180*0.714)</f>
        <v/>
      </c>
    </row>
    <row r="1288">
      <c r="A1288" s="4" t="inlineStr">
        <is>
          <t>SERV-11284</t>
        </is>
      </c>
      <c r="B1288" s="5" t="inlineStr">
        <is>
          <t>Médico / Enfermeiro da Saúde da Família</t>
        </is>
      </c>
      <c r="C1288" s="4" t="inlineStr">
        <is>
          <t>Efetivo Concursado</t>
        </is>
      </c>
      <c r="D1288" s="4" t="inlineStr">
        <is>
          <t>SEC-SAU</t>
        </is>
      </c>
      <c r="E1288" s="6" t="n">
        <v>14315.12</v>
      </c>
      <c r="F1288" s="6">
        <f>E1288*0.22</f>
        <v/>
      </c>
      <c r="G1288" s="6">
        <f>E1288+F1288</f>
        <v/>
      </c>
      <c r="H1288" s="10" t="n">
        <v>5</v>
      </c>
      <c r="I1288" s="7">
        <f>H1288/(180*0.714)</f>
        <v/>
      </c>
    </row>
    <row r="1289">
      <c r="A1289" s="4" t="inlineStr">
        <is>
          <t>SERV-11285</t>
        </is>
      </c>
      <c r="B1289" s="5" t="inlineStr">
        <is>
          <t>Médico / Enfermeiro da Saúde da Família</t>
        </is>
      </c>
      <c r="C1289" s="4" t="inlineStr">
        <is>
          <t>Efetivo Concursado</t>
        </is>
      </c>
      <c r="D1289" s="4" t="inlineStr">
        <is>
          <t>SEC-SAU</t>
        </is>
      </c>
      <c r="E1289" s="6" t="n">
        <v>14107.07</v>
      </c>
      <c r="F1289" s="6">
        <f>E1289*0.22</f>
        <v/>
      </c>
      <c r="G1289" s="6">
        <f>E1289+F1289</f>
        <v/>
      </c>
      <c r="H1289" s="10" t="n">
        <v>1</v>
      </c>
      <c r="I1289" s="7">
        <f>H1289/(180*0.714)</f>
        <v/>
      </c>
    </row>
    <row r="1290">
      <c r="A1290" s="4" t="inlineStr">
        <is>
          <t>SERV-11286</t>
        </is>
      </c>
      <c r="B1290" s="5" t="inlineStr">
        <is>
          <t>Médico / Enfermeiro da Saúde da Família</t>
        </is>
      </c>
      <c r="C1290" s="4" t="inlineStr">
        <is>
          <t>Efetivo Concursado</t>
        </is>
      </c>
      <c r="D1290" s="4" t="inlineStr">
        <is>
          <t>SEC-SAU</t>
        </is>
      </c>
      <c r="E1290" s="6" t="n">
        <v>14302.12</v>
      </c>
      <c r="F1290" s="6">
        <f>E1290*0.22</f>
        <v/>
      </c>
      <c r="G1290" s="6">
        <f>E1290+F1290</f>
        <v/>
      </c>
      <c r="H1290" s="10" t="n">
        <v>2</v>
      </c>
      <c r="I1290" s="7">
        <f>H1290/(180*0.714)</f>
        <v/>
      </c>
    </row>
    <row r="1291">
      <c r="A1291" s="4" t="inlineStr">
        <is>
          <t>SERV-11287</t>
        </is>
      </c>
      <c r="B1291" s="5" t="inlineStr">
        <is>
          <t>Médico / Enfermeiro da Saúde da Família</t>
        </is>
      </c>
      <c r="C1291" s="4" t="inlineStr">
        <is>
          <t>Efetivo Concursado</t>
        </is>
      </c>
      <c r="D1291" s="4" t="inlineStr">
        <is>
          <t>SEC-SAU</t>
        </is>
      </c>
      <c r="E1291" s="6" t="n">
        <v>13470.22</v>
      </c>
      <c r="F1291" s="6">
        <f>E1291*0.22</f>
        <v/>
      </c>
      <c r="G1291" s="6">
        <f>E1291+F1291</f>
        <v/>
      </c>
      <c r="H1291" s="10" t="n">
        <v>1</v>
      </c>
      <c r="I1291" s="7">
        <f>H1291/(180*0.714)</f>
        <v/>
      </c>
    </row>
    <row r="1292">
      <c r="A1292" s="4" t="inlineStr">
        <is>
          <t>SERV-11288</t>
        </is>
      </c>
      <c r="B1292" s="5" t="inlineStr">
        <is>
          <t>Médico / Enfermeiro da Saúde da Família</t>
        </is>
      </c>
      <c r="C1292" s="4" t="inlineStr">
        <is>
          <t>Efetivo Concursado</t>
        </is>
      </c>
      <c r="D1292" s="4" t="inlineStr">
        <is>
          <t>SEC-SAU</t>
        </is>
      </c>
      <c r="E1292" s="6" t="n">
        <v>12090.56</v>
      </c>
      <c r="F1292" s="6">
        <f>E1292*0.22</f>
        <v/>
      </c>
      <c r="G1292" s="6">
        <f>E1292+F1292</f>
        <v/>
      </c>
      <c r="H1292" s="10" t="n">
        <v>2</v>
      </c>
      <c r="I1292" s="7">
        <f>H1292/(180*0.714)</f>
        <v/>
      </c>
    </row>
    <row r="1293">
      <c r="A1293" s="4" t="inlineStr">
        <is>
          <t>SERV-11289</t>
        </is>
      </c>
      <c r="B1293" s="5" t="inlineStr">
        <is>
          <t>Médico / Enfermeiro da Saúde da Família</t>
        </is>
      </c>
      <c r="C1293" s="4" t="inlineStr">
        <is>
          <t>Efetivo Concursado</t>
        </is>
      </c>
      <c r="D1293" s="4" t="inlineStr">
        <is>
          <t>SEC-SAU</t>
        </is>
      </c>
      <c r="E1293" s="6" t="n">
        <v>13691.28</v>
      </c>
      <c r="F1293" s="6">
        <f>E1293*0.22</f>
        <v/>
      </c>
      <c r="G1293" s="6">
        <f>E1293+F1293</f>
        <v/>
      </c>
      <c r="H1293" s="10" t="n">
        <v>5</v>
      </c>
      <c r="I1293" s="7">
        <f>H1293/(180*0.714)</f>
        <v/>
      </c>
    </row>
    <row r="1294">
      <c r="A1294" s="4" t="inlineStr">
        <is>
          <t>SERV-11290</t>
        </is>
      </c>
      <c r="B1294" s="5" t="inlineStr">
        <is>
          <t>Médico / Enfermeiro da Saúde da Família</t>
        </is>
      </c>
      <c r="C1294" s="4" t="inlineStr">
        <is>
          <t>Efetivo Concursado</t>
        </is>
      </c>
      <c r="D1294" s="4" t="inlineStr">
        <is>
          <t>SEC-SAU</t>
        </is>
      </c>
      <c r="E1294" s="6" t="n">
        <v>12421.85</v>
      </c>
      <c r="F1294" s="6">
        <f>E1294*0.22</f>
        <v/>
      </c>
      <c r="G1294" s="6">
        <f>E1294+F1294</f>
        <v/>
      </c>
      <c r="H1294" s="10" t="n">
        <v>3</v>
      </c>
      <c r="I1294" s="7">
        <f>H1294/(180*0.714)</f>
        <v/>
      </c>
    </row>
    <row r="1295">
      <c r="A1295" s="4" t="inlineStr">
        <is>
          <t>SERV-11291</t>
        </is>
      </c>
      <c r="B1295" s="5" t="inlineStr">
        <is>
          <t>Médico / Enfermeiro da Saúde da Família</t>
        </is>
      </c>
      <c r="C1295" s="4" t="inlineStr">
        <is>
          <t>Efetivo Concursado</t>
        </is>
      </c>
      <c r="D1295" s="4" t="inlineStr">
        <is>
          <t>SEC-SAU</t>
        </is>
      </c>
      <c r="E1295" s="6" t="n">
        <v>12076.91</v>
      </c>
      <c r="F1295" s="6">
        <f>E1295*0.22</f>
        <v/>
      </c>
      <c r="G1295" s="6">
        <f>E1295+F1295</f>
        <v/>
      </c>
      <c r="H1295" s="10" t="n">
        <v>2</v>
      </c>
      <c r="I1295" s="7">
        <f>H1295/(180*0.714)</f>
        <v/>
      </c>
    </row>
    <row r="1296">
      <c r="A1296" s="4" t="inlineStr">
        <is>
          <t>SERV-11292</t>
        </is>
      </c>
      <c r="B1296" s="5" t="inlineStr">
        <is>
          <t>Médico / Enfermeiro da Saúde da Família</t>
        </is>
      </c>
      <c r="C1296" s="4" t="inlineStr">
        <is>
          <t>Efetivo Concursado</t>
        </is>
      </c>
      <c r="D1296" s="4" t="inlineStr">
        <is>
          <t>SEC-SAU</t>
        </is>
      </c>
      <c r="E1296" s="6" t="n">
        <v>12840.98</v>
      </c>
      <c r="F1296" s="6">
        <f>E1296*0.22</f>
        <v/>
      </c>
      <c r="G1296" s="6">
        <f>E1296+F1296</f>
        <v/>
      </c>
      <c r="H1296" s="10" t="n">
        <v>1</v>
      </c>
      <c r="I1296" s="7">
        <f>H1296/(180*0.714)</f>
        <v/>
      </c>
    </row>
    <row r="1297">
      <c r="A1297" s="4" t="inlineStr">
        <is>
          <t>SERV-11293</t>
        </is>
      </c>
      <c r="B1297" s="5" t="inlineStr">
        <is>
          <t>Médico / Enfermeiro da Saúde da Família</t>
        </is>
      </c>
      <c r="C1297" s="4" t="inlineStr">
        <is>
          <t>Efetivo Concursado</t>
        </is>
      </c>
      <c r="D1297" s="4" t="inlineStr">
        <is>
          <t>SEC-SAU</t>
        </is>
      </c>
      <c r="E1297" s="6" t="n">
        <v>12138.56</v>
      </c>
      <c r="F1297" s="6">
        <f>E1297*0.22</f>
        <v/>
      </c>
      <c r="G1297" s="6">
        <f>E1297+F1297</f>
        <v/>
      </c>
      <c r="H1297" s="10" t="n">
        <v>4</v>
      </c>
      <c r="I1297" s="7">
        <f>H1297/(180*0.714)</f>
        <v/>
      </c>
    </row>
    <row r="1298">
      <c r="A1298" s="4" t="inlineStr">
        <is>
          <t>SERV-11294</t>
        </is>
      </c>
      <c r="B1298" s="5" t="inlineStr">
        <is>
          <t>Médico / Enfermeiro da Saúde da Família</t>
        </is>
      </c>
      <c r="C1298" s="4" t="inlineStr">
        <is>
          <t>Efetivo Concursado</t>
        </is>
      </c>
      <c r="D1298" s="4" t="inlineStr">
        <is>
          <t>SEC-SAU</t>
        </is>
      </c>
      <c r="E1298" s="6" t="n">
        <v>12629.42</v>
      </c>
      <c r="F1298" s="6">
        <f>E1298*0.22</f>
        <v/>
      </c>
      <c r="G1298" s="6">
        <f>E1298+F1298</f>
        <v/>
      </c>
      <c r="H1298" s="10" t="n">
        <v>4</v>
      </c>
      <c r="I1298" s="7">
        <f>H1298/(180*0.714)</f>
        <v/>
      </c>
    </row>
    <row r="1299">
      <c r="A1299" s="4" t="inlineStr">
        <is>
          <t>SERV-11295</t>
        </is>
      </c>
      <c r="B1299" s="5" t="inlineStr">
        <is>
          <t>Médico / Enfermeiro da Saúde da Família</t>
        </is>
      </c>
      <c r="C1299" s="4" t="inlineStr">
        <is>
          <t>Efetivo Concursado</t>
        </is>
      </c>
      <c r="D1299" s="4" t="inlineStr">
        <is>
          <t>SEC-SAU</t>
        </is>
      </c>
      <c r="E1299" s="6" t="n">
        <v>11783.59</v>
      </c>
      <c r="F1299" s="6">
        <f>E1299*0.22</f>
        <v/>
      </c>
      <c r="G1299" s="6">
        <f>E1299+F1299</f>
        <v/>
      </c>
      <c r="H1299" s="10" t="n">
        <v>1</v>
      </c>
      <c r="I1299" s="7">
        <f>H1299/(180*0.714)</f>
        <v/>
      </c>
    </row>
    <row r="1300">
      <c r="A1300" s="4" t="inlineStr">
        <is>
          <t>SERV-11296</t>
        </is>
      </c>
      <c r="B1300" s="5" t="inlineStr">
        <is>
          <t>Médico / Enfermeiro da Saúde da Família</t>
        </is>
      </c>
      <c r="C1300" s="4" t="inlineStr">
        <is>
          <t>Efetivo Concursado</t>
        </is>
      </c>
      <c r="D1300" s="4" t="inlineStr">
        <is>
          <t>SEC-SAU</t>
        </is>
      </c>
      <c r="E1300" s="6" t="n">
        <v>12389.55</v>
      </c>
      <c r="F1300" s="6">
        <f>E1300*0.22</f>
        <v/>
      </c>
      <c r="G1300" s="6">
        <f>E1300+F1300</f>
        <v/>
      </c>
      <c r="H1300" s="10" t="n">
        <v>2</v>
      </c>
      <c r="I1300" s="7">
        <f>H1300/(180*0.714)</f>
        <v/>
      </c>
    </row>
    <row r="1301">
      <c r="A1301" s="4" t="inlineStr">
        <is>
          <t>SERV-11297</t>
        </is>
      </c>
      <c r="B1301" s="5" t="inlineStr">
        <is>
          <t>Médico / Enfermeiro da Saúde da Família</t>
        </is>
      </c>
      <c r="C1301" s="4" t="inlineStr">
        <is>
          <t>Efetivo Concursado</t>
        </is>
      </c>
      <c r="D1301" s="4" t="inlineStr">
        <is>
          <t>SEC-SAU</t>
        </is>
      </c>
      <c r="E1301" s="6" t="n">
        <v>11927.56</v>
      </c>
      <c r="F1301" s="6">
        <f>E1301*0.22</f>
        <v/>
      </c>
      <c r="G1301" s="6">
        <f>E1301+F1301</f>
        <v/>
      </c>
      <c r="H1301" s="10" t="n">
        <v>4</v>
      </c>
      <c r="I1301" s="7">
        <f>H1301/(180*0.714)</f>
        <v/>
      </c>
    </row>
    <row r="1302">
      <c r="A1302" s="4" t="inlineStr">
        <is>
          <t>SERV-11298</t>
        </is>
      </c>
      <c r="B1302" s="5" t="inlineStr">
        <is>
          <t>Médico / Enfermeiro da Saúde da Família</t>
        </is>
      </c>
      <c r="C1302" s="4" t="inlineStr">
        <is>
          <t>Efetivo Concursado</t>
        </is>
      </c>
      <c r="D1302" s="4" t="inlineStr">
        <is>
          <t>SEC-SAU</t>
        </is>
      </c>
      <c r="E1302" s="6" t="n">
        <v>14046.79</v>
      </c>
      <c r="F1302" s="6">
        <f>E1302*0.22</f>
        <v/>
      </c>
      <c r="G1302" s="6">
        <f>E1302+F1302</f>
        <v/>
      </c>
      <c r="H1302" s="10" t="n">
        <v>2</v>
      </c>
      <c r="I1302" s="7">
        <f>H1302/(180*0.714)</f>
        <v/>
      </c>
    </row>
    <row r="1303">
      <c r="A1303" s="4" t="inlineStr">
        <is>
          <t>SERV-11299</t>
        </is>
      </c>
      <c r="B1303" s="5" t="inlineStr">
        <is>
          <t>Médico / Enfermeiro da Saúde da Família</t>
        </is>
      </c>
      <c r="C1303" s="4" t="inlineStr">
        <is>
          <t>Efetivo Concursado</t>
        </is>
      </c>
      <c r="D1303" s="4" t="inlineStr">
        <is>
          <t>SEC-SAU</t>
        </is>
      </c>
      <c r="E1303" s="6" t="n">
        <v>12371.4</v>
      </c>
      <c r="F1303" s="6">
        <f>E1303*0.22</f>
        <v/>
      </c>
      <c r="G1303" s="6">
        <f>E1303+F1303</f>
        <v/>
      </c>
      <c r="H1303" s="10" t="n">
        <v>5</v>
      </c>
      <c r="I1303" s="7">
        <f>H1303/(180*0.714)</f>
        <v/>
      </c>
    </row>
    <row r="1304">
      <c r="A1304" s="4" t="inlineStr">
        <is>
          <t>SERV-11300</t>
        </is>
      </c>
      <c r="B1304" s="5" t="inlineStr">
        <is>
          <t>Médico / Enfermeiro da Saúde da Família</t>
        </is>
      </c>
      <c r="C1304" s="4" t="inlineStr">
        <is>
          <t>Efetivo Concursado</t>
        </is>
      </c>
      <c r="D1304" s="4" t="inlineStr">
        <is>
          <t>SEC-SAU</t>
        </is>
      </c>
      <c r="E1304" s="6" t="n">
        <v>12431.49</v>
      </c>
      <c r="F1304" s="6">
        <f>E1304*0.22</f>
        <v/>
      </c>
      <c r="G1304" s="6">
        <f>E1304+F1304</f>
        <v/>
      </c>
      <c r="H1304" s="10" t="n">
        <v>5</v>
      </c>
      <c r="I1304" s="7">
        <f>H1304/(180*0.714)</f>
        <v/>
      </c>
    </row>
    <row r="1305">
      <c r="A1305" s="4" t="inlineStr">
        <is>
          <t>SERV-11301</t>
        </is>
      </c>
      <c r="B1305" s="5" t="inlineStr">
        <is>
          <t>Médico / Enfermeiro da Saúde da Família</t>
        </is>
      </c>
      <c r="C1305" s="4" t="inlineStr">
        <is>
          <t>Efetivo Concursado</t>
        </is>
      </c>
      <c r="D1305" s="4" t="inlineStr">
        <is>
          <t>SEC-SAU</t>
        </is>
      </c>
      <c r="E1305" s="6" t="n">
        <v>11918.86</v>
      </c>
      <c r="F1305" s="6">
        <f>E1305*0.22</f>
        <v/>
      </c>
      <c r="G1305" s="6">
        <f>E1305+F1305</f>
        <v/>
      </c>
      <c r="H1305" s="10" t="n">
        <v>4</v>
      </c>
      <c r="I1305" s="7">
        <f>H1305/(180*0.714)</f>
        <v/>
      </c>
    </row>
    <row r="1306">
      <c r="A1306" s="4" t="inlineStr">
        <is>
          <t>SERV-11302</t>
        </is>
      </c>
      <c r="B1306" s="5" t="inlineStr">
        <is>
          <t>Médico / Enfermeiro da Saúde da Família</t>
        </is>
      </c>
      <c r="C1306" s="4" t="inlineStr">
        <is>
          <t>Efetivo Concursado</t>
        </is>
      </c>
      <c r="D1306" s="4" t="inlineStr">
        <is>
          <t>SEC-SAU</t>
        </is>
      </c>
      <c r="E1306" s="6" t="n">
        <v>13380.99</v>
      </c>
      <c r="F1306" s="6">
        <f>E1306*0.22</f>
        <v/>
      </c>
      <c r="G1306" s="6">
        <f>E1306+F1306</f>
        <v/>
      </c>
      <c r="H1306" s="10" t="n">
        <v>1</v>
      </c>
      <c r="I1306" s="7">
        <f>H1306/(180*0.714)</f>
        <v/>
      </c>
    </row>
    <row r="1307">
      <c r="A1307" s="4" t="inlineStr">
        <is>
          <t>SERV-11303</t>
        </is>
      </c>
      <c r="B1307" s="5" t="inlineStr">
        <is>
          <t>Técnico de Enfermagem / Agente de Saúde</t>
        </is>
      </c>
      <c r="C1307" s="4" t="inlineStr">
        <is>
          <t>Efetivo Concursado</t>
        </is>
      </c>
      <c r="D1307" s="4" t="inlineStr">
        <is>
          <t>SEC-SAU</t>
        </is>
      </c>
      <c r="E1307" s="6" t="n">
        <v>4186.17</v>
      </c>
      <c r="F1307" s="6">
        <f>E1307*0.22</f>
        <v/>
      </c>
      <c r="G1307" s="6">
        <f>E1307+F1307</f>
        <v/>
      </c>
      <c r="H1307" s="10" t="n">
        <v>12</v>
      </c>
      <c r="I1307" s="7">
        <f>H1307/(180*0.714)</f>
        <v/>
      </c>
    </row>
    <row r="1308">
      <c r="A1308" s="4" t="inlineStr">
        <is>
          <t>SERV-11304</t>
        </is>
      </c>
      <c r="B1308" s="5" t="inlineStr">
        <is>
          <t>Técnico de Enfermagem / Agente de Saúde</t>
        </is>
      </c>
      <c r="C1308" s="4" t="inlineStr">
        <is>
          <t>Efetivo Concursado</t>
        </is>
      </c>
      <c r="D1308" s="4" t="inlineStr">
        <is>
          <t>SEC-SAU</t>
        </is>
      </c>
      <c r="E1308" s="6" t="n">
        <v>3844.01</v>
      </c>
      <c r="F1308" s="6">
        <f>E1308*0.22</f>
        <v/>
      </c>
      <c r="G1308" s="6">
        <f>E1308+F1308</f>
        <v/>
      </c>
      <c r="H1308" s="10" t="n">
        <v>13</v>
      </c>
      <c r="I1308" s="7">
        <f>H1308/(180*0.714)</f>
        <v/>
      </c>
    </row>
    <row r="1309">
      <c r="A1309" s="4" t="inlineStr">
        <is>
          <t>SERV-11305</t>
        </is>
      </c>
      <c r="B1309" s="5" t="inlineStr">
        <is>
          <t>Técnico de Enfermagem / Agente de Saúde</t>
        </is>
      </c>
      <c r="C1309" s="4" t="inlineStr">
        <is>
          <t>Efetivo Concursado</t>
        </is>
      </c>
      <c r="D1309" s="4" t="inlineStr">
        <is>
          <t>SEC-SAU</t>
        </is>
      </c>
      <c r="E1309" s="6" t="n">
        <v>3584.45</v>
      </c>
      <c r="F1309" s="6">
        <f>E1309*0.22</f>
        <v/>
      </c>
      <c r="G1309" s="6">
        <f>E1309+F1309</f>
        <v/>
      </c>
      <c r="H1309" s="10" t="n">
        <v>6</v>
      </c>
      <c r="I1309" s="7">
        <f>H1309/(180*0.714)</f>
        <v/>
      </c>
    </row>
    <row r="1310">
      <c r="A1310" s="4" t="inlineStr">
        <is>
          <t>SERV-11306</t>
        </is>
      </c>
      <c r="B1310" s="5" t="inlineStr">
        <is>
          <t>Técnico de Enfermagem / Agente de Saúde</t>
        </is>
      </c>
      <c r="C1310" s="4" t="inlineStr">
        <is>
          <t>Efetivo Concursado</t>
        </is>
      </c>
      <c r="D1310" s="4" t="inlineStr">
        <is>
          <t>SEC-SAU</t>
        </is>
      </c>
      <c r="E1310" s="6" t="n">
        <v>3629.75</v>
      </c>
      <c r="F1310" s="6">
        <f>E1310*0.22</f>
        <v/>
      </c>
      <c r="G1310" s="6">
        <f>E1310+F1310</f>
        <v/>
      </c>
      <c r="H1310" s="10" t="n">
        <v>6</v>
      </c>
      <c r="I1310" s="7">
        <f>H1310/(180*0.714)</f>
        <v/>
      </c>
    </row>
    <row r="1311">
      <c r="A1311" s="4" t="inlineStr">
        <is>
          <t>SERV-11307</t>
        </is>
      </c>
      <c r="B1311" s="5" t="inlineStr">
        <is>
          <t>Técnico de Enfermagem / Agente de Saúde</t>
        </is>
      </c>
      <c r="C1311" s="4" t="inlineStr">
        <is>
          <t>Efetivo Concursado</t>
        </is>
      </c>
      <c r="D1311" s="4" t="inlineStr">
        <is>
          <t>SEC-SAU</t>
        </is>
      </c>
      <c r="E1311" s="6" t="n">
        <v>3600.42</v>
      </c>
      <c r="F1311" s="6">
        <f>E1311*0.22</f>
        <v/>
      </c>
      <c r="G1311" s="6">
        <f>E1311+F1311</f>
        <v/>
      </c>
      <c r="H1311" s="10" t="n">
        <v>4</v>
      </c>
      <c r="I1311" s="7">
        <f>H1311/(180*0.714)</f>
        <v/>
      </c>
    </row>
    <row r="1312">
      <c r="A1312" s="4" t="inlineStr">
        <is>
          <t>SERV-11308</t>
        </is>
      </c>
      <c r="B1312" s="5" t="inlineStr">
        <is>
          <t>Técnico de Enfermagem / Agente de Saúde</t>
        </is>
      </c>
      <c r="C1312" s="4" t="inlineStr">
        <is>
          <t>Efetivo Concursado</t>
        </is>
      </c>
      <c r="D1312" s="4" t="inlineStr">
        <is>
          <t>SEC-SAU</t>
        </is>
      </c>
      <c r="E1312" s="6" t="n">
        <v>3616.61</v>
      </c>
      <c r="F1312" s="6">
        <f>E1312*0.22</f>
        <v/>
      </c>
      <c r="G1312" s="6">
        <f>E1312+F1312</f>
        <v/>
      </c>
      <c r="H1312" s="10" t="n">
        <v>5</v>
      </c>
      <c r="I1312" s="7">
        <f>H1312/(180*0.714)</f>
        <v/>
      </c>
    </row>
    <row r="1313">
      <c r="A1313" s="4" t="inlineStr">
        <is>
          <t>SERV-11309</t>
        </is>
      </c>
      <c r="B1313" s="5" t="inlineStr">
        <is>
          <t>Técnico de Enfermagem / Agente de Saúde</t>
        </is>
      </c>
      <c r="C1313" s="4" t="inlineStr">
        <is>
          <t>Efetivo Concursado</t>
        </is>
      </c>
      <c r="D1313" s="4" t="inlineStr">
        <is>
          <t>SEC-SAU</t>
        </is>
      </c>
      <c r="E1313" s="6" t="n">
        <v>3714.33</v>
      </c>
      <c r="F1313" s="6">
        <f>E1313*0.22</f>
        <v/>
      </c>
      <c r="G1313" s="6">
        <f>E1313+F1313</f>
        <v/>
      </c>
      <c r="H1313" s="10" t="n">
        <v>12</v>
      </c>
      <c r="I1313" s="7">
        <f>H1313/(180*0.714)</f>
        <v/>
      </c>
    </row>
    <row r="1314">
      <c r="A1314" s="4" t="inlineStr">
        <is>
          <t>SERV-11310</t>
        </is>
      </c>
      <c r="B1314" s="5" t="inlineStr">
        <is>
          <t>Técnico de Enfermagem / Agente de Saúde</t>
        </is>
      </c>
      <c r="C1314" s="4" t="inlineStr">
        <is>
          <t>Efetivo Concursado</t>
        </is>
      </c>
      <c r="D1314" s="4" t="inlineStr">
        <is>
          <t>SEC-SAU</t>
        </is>
      </c>
      <c r="E1314" s="6" t="n">
        <v>3667.36</v>
      </c>
      <c r="F1314" s="6">
        <f>E1314*0.22</f>
        <v/>
      </c>
      <c r="G1314" s="6">
        <f>E1314+F1314</f>
        <v/>
      </c>
      <c r="H1314" s="10" t="n">
        <v>12</v>
      </c>
      <c r="I1314" s="7">
        <f>H1314/(180*0.714)</f>
        <v/>
      </c>
    </row>
    <row r="1315">
      <c r="A1315" s="4" t="inlineStr">
        <is>
          <t>SERV-11311</t>
        </is>
      </c>
      <c r="B1315" s="5" t="inlineStr">
        <is>
          <t>Técnico de Enfermagem / Agente de Saúde</t>
        </is>
      </c>
      <c r="C1315" s="4" t="inlineStr">
        <is>
          <t>Efetivo Concursado</t>
        </is>
      </c>
      <c r="D1315" s="4" t="inlineStr">
        <is>
          <t>SEC-SAU</t>
        </is>
      </c>
      <c r="E1315" s="6" t="n">
        <v>3576</v>
      </c>
      <c r="F1315" s="6">
        <f>E1315*0.22</f>
        <v/>
      </c>
      <c r="G1315" s="6">
        <f>E1315+F1315</f>
        <v/>
      </c>
      <c r="H1315" s="10" t="n">
        <v>10</v>
      </c>
      <c r="I1315" s="7">
        <f>H1315/(180*0.714)</f>
        <v/>
      </c>
    </row>
    <row r="1316">
      <c r="A1316" s="4" t="inlineStr">
        <is>
          <t>SERV-11312</t>
        </is>
      </c>
      <c r="B1316" s="5" t="inlineStr">
        <is>
          <t>Técnico de Enfermagem / Agente de Saúde</t>
        </is>
      </c>
      <c r="C1316" s="4" t="inlineStr">
        <is>
          <t>Efetivo Concursado</t>
        </is>
      </c>
      <c r="D1316" s="4" t="inlineStr">
        <is>
          <t>SEC-SAU</t>
        </is>
      </c>
      <c r="E1316" s="6" t="n">
        <v>3700.16</v>
      </c>
      <c r="F1316" s="6">
        <f>E1316*0.22</f>
        <v/>
      </c>
      <c r="G1316" s="6">
        <f>E1316+F1316</f>
        <v/>
      </c>
      <c r="H1316" s="10" t="n">
        <v>10</v>
      </c>
      <c r="I1316" s="7">
        <f>H1316/(180*0.714)</f>
        <v/>
      </c>
    </row>
    <row r="1317">
      <c r="A1317" s="4" t="inlineStr">
        <is>
          <t>SERV-11313</t>
        </is>
      </c>
      <c r="B1317" s="5" t="inlineStr">
        <is>
          <t>Técnico de Enfermagem / Agente de Saúde</t>
        </is>
      </c>
      <c r="C1317" s="4" t="inlineStr">
        <is>
          <t>Efetivo Concursado</t>
        </is>
      </c>
      <c r="D1317" s="4" t="inlineStr">
        <is>
          <t>SEC-SAU</t>
        </is>
      </c>
      <c r="E1317" s="6" t="n">
        <v>3758.6</v>
      </c>
      <c r="F1317" s="6">
        <f>E1317*0.22</f>
        <v/>
      </c>
      <c r="G1317" s="6">
        <f>E1317+F1317</f>
        <v/>
      </c>
      <c r="H1317" s="10" t="n">
        <v>3</v>
      </c>
      <c r="I1317" s="7">
        <f>H1317/(180*0.714)</f>
        <v/>
      </c>
    </row>
    <row r="1318">
      <c r="A1318" s="4" t="inlineStr">
        <is>
          <t>SERV-11314</t>
        </is>
      </c>
      <c r="B1318" s="5" t="inlineStr">
        <is>
          <t>Técnico de Enfermagem / Agente de Saúde</t>
        </is>
      </c>
      <c r="C1318" s="4" t="inlineStr">
        <is>
          <t>Efetivo Concursado</t>
        </is>
      </c>
      <c r="D1318" s="4" t="inlineStr">
        <is>
          <t>SEC-SAU</t>
        </is>
      </c>
      <c r="E1318" s="6" t="n">
        <v>3668.81</v>
      </c>
      <c r="F1318" s="6">
        <f>E1318*0.22</f>
        <v/>
      </c>
      <c r="G1318" s="6">
        <f>E1318+F1318</f>
        <v/>
      </c>
      <c r="H1318" s="10" t="n">
        <v>5</v>
      </c>
      <c r="I1318" s="7">
        <f>H1318/(180*0.714)</f>
        <v/>
      </c>
    </row>
    <row r="1319">
      <c r="A1319" s="4" t="inlineStr">
        <is>
          <t>SERV-11315</t>
        </is>
      </c>
      <c r="B1319" s="5" t="inlineStr">
        <is>
          <t>Técnico de Enfermagem / Agente de Saúde</t>
        </is>
      </c>
      <c r="C1319" s="4" t="inlineStr">
        <is>
          <t>Efetivo Concursado</t>
        </is>
      </c>
      <c r="D1319" s="4" t="inlineStr">
        <is>
          <t>SEC-SAU</t>
        </is>
      </c>
      <c r="E1319" s="6" t="n">
        <v>4118.2</v>
      </c>
      <c r="F1319" s="6">
        <f>E1319*0.22</f>
        <v/>
      </c>
      <c r="G1319" s="6">
        <f>E1319+F1319</f>
        <v/>
      </c>
      <c r="H1319" s="10" t="n">
        <v>7</v>
      </c>
      <c r="I1319" s="7">
        <f>H1319/(180*0.714)</f>
        <v/>
      </c>
    </row>
    <row r="1320">
      <c r="A1320" s="4" t="inlineStr">
        <is>
          <t>SERV-11316</t>
        </is>
      </c>
      <c r="B1320" s="5" t="inlineStr">
        <is>
          <t>Técnico de Enfermagem / Agente de Saúde</t>
        </is>
      </c>
      <c r="C1320" s="4" t="inlineStr">
        <is>
          <t>Efetivo Concursado</t>
        </is>
      </c>
      <c r="D1320" s="4" t="inlineStr">
        <is>
          <t>SEC-SAU</t>
        </is>
      </c>
      <c r="E1320" s="6" t="n">
        <v>4063.39</v>
      </c>
      <c r="F1320" s="6">
        <f>E1320*0.22</f>
        <v/>
      </c>
      <c r="G1320" s="6">
        <f>E1320+F1320</f>
        <v/>
      </c>
      <c r="H1320" s="10" t="n">
        <v>5</v>
      </c>
      <c r="I1320" s="7">
        <f>H1320/(180*0.714)</f>
        <v/>
      </c>
    </row>
    <row r="1321">
      <c r="A1321" s="4" t="inlineStr">
        <is>
          <t>SERV-11317</t>
        </is>
      </c>
      <c r="B1321" s="5" t="inlineStr">
        <is>
          <t>Técnico de Enfermagem / Agente de Saúde</t>
        </is>
      </c>
      <c r="C1321" s="4" t="inlineStr">
        <is>
          <t>Efetivo Concursado</t>
        </is>
      </c>
      <c r="D1321" s="4" t="inlineStr">
        <is>
          <t>SEC-SAU</t>
        </is>
      </c>
      <c r="E1321" s="6" t="n">
        <v>3658.74</v>
      </c>
      <c r="F1321" s="6">
        <f>E1321*0.22</f>
        <v/>
      </c>
      <c r="G1321" s="6">
        <f>E1321+F1321</f>
        <v/>
      </c>
      <c r="H1321" s="10" t="n">
        <v>11</v>
      </c>
      <c r="I1321" s="7">
        <f>H1321/(180*0.714)</f>
        <v/>
      </c>
    </row>
    <row r="1322">
      <c r="A1322" s="4" t="inlineStr">
        <is>
          <t>SERV-11318</t>
        </is>
      </c>
      <c r="B1322" s="5" t="inlineStr">
        <is>
          <t>Técnico de Enfermagem / Agente de Saúde</t>
        </is>
      </c>
      <c r="C1322" s="4" t="inlineStr">
        <is>
          <t>Efetivo Concursado</t>
        </is>
      </c>
      <c r="D1322" s="4" t="inlineStr">
        <is>
          <t>SEC-SAU</t>
        </is>
      </c>
      <c r="E1322" s="6" t="n">
        <v>3572.34</v>
      </c>
      <c r="F1322" s="6">
        <f>E1322*0.22</f>
        <v/>
      </c>
      <c r="G1322" s="6">
        <f>E1322+F1322</f>
        <v/>
      </c>
      <c r="H1322" s="10" t="n">
        <v>12</v>
      </c>
      <c r="I1322" s="7">
        <f>H1322/(180*0.714)</f>
        <v/>
      </c>
    </row>
    <row r="1323">
      <c r="A1323" s="4" t="inlineStr">
        <is>
          <t>SERV-11319</t>
        </is>
      </c>
      <c r="B1323" s="5" t="inlineStr">
        <is>
          <t>Técnico de Enfermagem / Agente de Saúde</t>
        </is>
      </c>
      <c r="C1323" s="4" t="inlineStr">
        <is>
          <t>Efetivo Concursado</t>
        </is>
      </c>
      <c r="D1323" s="4" t="inlineStr">
        <is>
          <t>SEC-SAU</t>
        </is>
      </c>
      <c r="E1323" s="6" t="n">
        <v>4032.81</v>
      </c>
      <c r="F1323" s="6">
        <f>E1323*0.22</f>
        <v/>
      </c>
      <c r="G1323" s="6">
        <f>E1323+F1323</f>
        <v/>
      </c>
      <c r="H1323" s="10" t="n">
        <v>12</v>
      </c>
      <c r="I1323" s="7">
        <f>H1323/(180*0.714)</f>
        <v/>
      </c>
    </row>
    <row r="1324">
      <c r="A1324" s="4" t="inlineStr">
        <is>
          <t>SERV-11320</t>
        </is>
      </c>
      <c r="B1324" s="5" t="inlineStr">
        <is>
          <t>Técnico de Enfermagem / Agente de Saúde</t>
        </is>
      </c>
      <c r="C1324" s="4" t="inlineStr">
        <is>
          <t>Efetivo Concursado</t>
        </is>
      </c>
      <c r="D1324" s="4" t="inlineStr">
        <is>
          <t>SEC-SAU</t>
        </is>
      </c>
      <c r="E1324" s="6" t="n">
        <v>4138.27</v>
      </c>
      <c r="F1324" s="6">
        <f>E1324*0.22</f>
        <v/>
      </c>
      <c r="G1324" s="6">
        <f>E1324+F1324</f>
        <v/>
      </c>
      <c r="H1324" s="10" t="n">
        <v>10</v>
      </c>
      <c r="I1324" s="7">
        <f>H1324/(180*0.714)</f>
        <v/>
      </c>
    </row>
    <row r="1325">
      <c r="A1325" s="4" t="inlineStr">
        <is>
          <t>SERV-11321</t>
        </is>
      </c>
      <c r="B1325" s="5" t="inlineStr">
        <is>
          <t>Técnico de Enfermagem / Agente de Saúde</t>
        </is>
      </c>
      <c r="C1325" s="4" t="inlineStr">
        <is>
          <t>Efetivo Concursado</t>
        </is>
      </c>
      <c r="D1325" s="4" t="inlineStr">
        <is>
          <t>SEC-SAU</t>
        </is>
      </c>
      <c r="E1325" s="6" t="n">
        <v>3525.68</v>
      </c>
      <c r="F1325" s="6">
        <f>E1325*0.22</f>
        <v/>
      </c>
      <c r="G1325" s="6">
        <f>E1325+F1325</f>
        <v/>
      </c>
      <c r="H1325" s="10" t="n">
        <v>3</v>
      </c>
      <c r="I1325" s="7">
        <f>H1325/(180*0.714)</f>
        <v/>
      </c>
    </row>
    <row r="1326">
      <c r="A1326" s="4" t="inlineStr">
        <is>
          <t>SERV-11322</t>
        </is>
      </c>
      <c r="B1326" s="5" t="inlineStr">
        <is>
          <t>Técnico de Enfermagem / Agente de Saúde</t>
        </is>
      </c>
      <c r="C1326" s="4" t="inlineStr">
        <is>
          <t>Efetivo Concursado</t>
        </is>
      </c>
      <c r="D1326" s="4" t="inlineStr">
        <is>
          <t>SEC-SAU</t>
        </is>
      </c>
      <c r="E1326" s="6" t="n">
        <v>4215.38</v>
      </c>
      <c r="F1326" s="6">
        <f>E1326*0.22</f>
        <v/>
      </c>
      <c r="G1326" s="6">
        <f>E1326+F1326</f>
        <v/>
      </c>
      <c r="H1326" s="10" t="n">
        <v>8</v>
      </c>
      <c r="I1326" s="7">
        <f>H1326/(180*0.714)</f>
        <v/>
      </c>
    </row>
    <row r="1327">
      <c r="A1327" s="4" t="inlineStr">
        <is>
          <t>SERV-11323</t>
        </is>
      </c>
      <c r="B1327" s="5" t="inlineStr">
        <is>
          <t>Técnico de Enfermagem / Agente de Saúde</t>
        </is>
      </c>
      <c r="C1327" s="4" t="inlineStr">
        <is>
          <t>Efetivo Concursado</t>
        </is>
      </c>
      <c r="D1327" s="4" t="inlineStr">
        <is>
          <t>SEC-SAU</t>
        </is>
      </c>
      <c r="E1327" s="6" t="n">
        <v>4016.82</v>
      </c>
      <c r="F1327" s="6">
        <f>E1327*0.22</f>
        <v/>
      </c>
      <c r="G1327" s="6">
        <f>E1327+F1327</f>
        <v/>
      </c>
      <c r="H1327" s="10" t="n">
        <v>10</v>
      </c>
      <c r="I1327" s="7">
        <f>H1327/(180*0.714)</f>
        <v/>
      </c>
    </row>
    <row r="1328">
      <c r="A1328" s="4" t="inlineStr">
        <is>
          <t>SERV-11324</t>
        </is>
      </c>
      <c r="B1328" s="5" t="inlineStr">
        <is>
          <t>Técnico de Enfermagem / Agente de Saúde</t>
        </is>
      </c>
      <c r="C1328" s="4" t="inlineStr">
        <is>
          <t>Efetivo Concursado</t>
        </is>
      </c>
      <c r="D1328" s="4" t="inlineStr">
        <is>
          <t>SEC-SAU</t>
        </is>
      </c>
      <c r="E1328" s="6" t="n">
        <v>3699.82</v>
      </c>
      <c r="F1328" s="6">
        <f>E1328*0.22</f>
        <v/>
      </c>
      <c r="G1328" s="6">
        <f>E1328+F1328</f>
        <v/>
      </c>
      <c r="H1328" s="10" t="n">
        <v>13</v>
      </c>
      <c r="I1328" s="7">
        <f>H1328/(180*0.714)</f>
        <v/>
      </c>
    </row>
    <row r="1329">
      <c r="A1329" s="4" t="inlineStr">
        <is>
          <t>SERV-11325</t>
        </is>
      </c>
      <c r="B1329" s="5" t="inlineStr">
        <is>
          <t>Técnico de Enfermagem / Agente de Saúde</t>
        </is>
      </c>
      <c r="C1329" s="4" t="inlineStr">
        <is>
          <t>Efetivo Concursado</t>
        </is>
      </c>
      <c r="D1329" s="4" t="inlineStr">
        <is>
          <t>SEC-SAU</t>
        </is>
      </c>
      <c r="E1329" s="6" t="n">
        <v>3575.42</v>
      </c>
      <c r="F1329" s="6">
        <f>E1329*0.22</f>
        <v/>
      </c>
      <c r="G1329" s="6">
        <f>E1329+F1329</f>
        <v/>
      </c>
      <c r="H1329" s="10" t="n">
        <v>9</v>
      </c>
      <c r="I1329" s="7">
        <f>H1329/(180*0.714)</f>
        <v/>
      </c>
    </row>
    <row r="1330">
      <c r="A1330" s="4" t="inlineStr">
        <is>
          <t>SERV-11326</t>
        </is>
      </c>
      <c r="B1330" s="5" t="inlineStr">
        <is>
          <t>Técnico de Enfermagem / Agente de Saúde</t>
        </is>
      </c>
      <c r="C1330" s="4" t="inlineStr">
        <is>
          <t>Efetivo Concursado</t>
        </is>
      </c>
      <c r="D1330" s="4" t="inlineStr">
        <is>
          <t>SEC-SAU</t>
        </is>
      </c>
      <c r="E1330" s="6" t="n">
        <v>3744.02</v>
      </c>
      <c r="F1330" s="6">
        <f>E1330*0.22</f>
        <v/>
      </c>
      <c r="G1330" s="6">
        <f>E1330+F1330</f>
        <v/>
      </c>
      <c r="H1330" s="10" t="n">
        <v>12</v>
      </c>
      <c r="I1330" s="7">
        <f>H1330/(180*0.714)</f>
        <v/>
      </c>
    </row>
    <row r="1331">
      <c r="A1331" s="4" t="inlineStr">
        <is>
          <t>SERV-11327</t>
        </is>
      </c>
      <c r="B1331" s="5" t="inlineStr">
        <is>
          <t>Técnico de Enfermagem / Agente de Saúde</t>
        </is>
      </c>
      <c r="C1331" s="4" t="inlineStr">
        <is>
          <t>Efetivo Concursado</t>
        </is>
      </c>
      <c r="D1331" s="4" t="inlineStr">
        <is>
          <t>SEC-SAU</t>
        </is>
      </c>
      <c r="E1331" s="6" t="n">
        <v>3922.47</v>
      </c>
      <c r="F1331" s="6">
        <f>E1331*0.22</f>
        <v/>
      </c>
      <c r="G1331" s="6">
        <f>E1331+F1331</f>
        <v/>
      </c>
      <c r="H1331" s="10" t="n">
        <v>4</v>
      </c>
      <c r="I1331" s="7">
        <f>H1331/(180*0.714)</f>
        <v/>
      </c>
    </row>
    <row r="1332">
      <c r="A1332" s="4" t="inlineStr">
        <is>
          <t>SERV-11328</t>
        </is>
      </c>
      <c r="B1332" s="5" t="inlineStr">
        <is>
          <t>Técnico de Enfermagem / Agente de Saúde</t>
        </is>
      </c>
      <c r="C1332" s="4" t="inlineStr">
        <is>
          <t>Efetivo Concursado</t>
        </is>
      </c>
      <c r="D1332" s="4" t="inlineStr">
        <is>
          <t>SEC-SAU</t>
        </is>
      </c>
      <c r="E1332" s="6" t="n">
        <v>4196.57</v>
      </c>
      <c r="F1332" s="6">
        <f>E1332*0.22</f>
        <v/>
      </c>
      <c r="G1332" s="6">
        <f>E1332+F1332</f>
        <v/>
      </c>
      <c r="H1332" s="10" t="n">
        <v>10</v>
      </c>
      <c r="I1332" s="7">
        <f>H1332/(180*0.714)</f>
        <v/>
      </c>
    </row>
    <row r="1333">
      <c r="A1333" s="4" t="inlineStr">
        <is>
          <t>SERV-11329</t>
        </is>
      </c>
      <c r="B1333" s="5" t="inlineStr">
        <is>
          <t>Técnico de Enfermagem / Agente de Saúde</t>
        </is>
      </c>
      <c r="C1333" s="4" t="inlineStr">
        <is>
          <t>Efetivo Concursado</t>
        </is>
      </c>
      <c r="D1333" s="4" t="inlineStr">
        <is>
          <t>SEC-SAU</t>
        </is>
      </c>
      <c r="E1333" s="6" t="n">
        <v>3653.68</v>
      </c>
      <c r="F1333" s="6">
        <f>E1333*0.22</f>
        <v/>
      </c>
      <c r="G1333" s="6">
        <f>E1333+F1333</f>
        <v/>
      </c>
      <c r="H1333" s="10" t="n">
        <v>3</v>
      </c>
      <c r="I1333" s="7">
        <f>H1333/(180*0.714)</f>
        <v/>
      </c>
    </row>
    <row r="1334">
      <c r="A1334" s="4" t="inlineStr">
        <is>
          <t>SERV-11330</t>
        </is>
      </c>
      <c r="B1334" s="5" t="inlineStr">
        <is>
          <t>Técnico de Enfermagem / Agente de Saúde</t>
        </is>
      </c>
      <c r="C1334" s="4" t="inlineStr">
        <is>
          <t>Efetivo Concursado</t>
        </is>
      </c>
      <c r="D1334" s="4" t="inlineStr">
        <is>
          <t>SEC-SAU</t>
        </is>
      </c>
      <c r="E1334" s="6" t="n">
        <v>4180.72</v>
      </c>
      <c r="F1334" s="6">
        <f>E1334*0.22</f>
        <v/>
      </c>
      <c r="G1334" s="6">
        <f>E1334+F1334</f>
        <v/>
      </c>
      <c r="H1334" s="10" t="n">
        <v>8</v>
      </c>
      <c r="I1334" s="7">
        <f>H1334/(180*0.714)</f>
        <v/>
      </c>
    </row>
    <row r="1335">
      <c r="A1335" s="4" t="inlineStr">
        <is>
          <t>SERV-11331</t>
        </is>
      </c>
      <c r="B1335" s="5" t="inlineStr">
        <is>
          <t>Técnico de Enfermagem / Agente de Saúde</t>
        </is>
      </c>
      <c r="C1335" s="4" t="inlineStr">
        <is>
          <t>Efetivo Concursado</t>
        </is>
      </c>
      <c r="D1335" s="4" t="inlineStr">
        <is>
          <t>SEC-SAU</t>
        </is>
      </c>
      <c r="E1335" s="6" t="n">
        <v>3600.32</v>
      </c>
      <c r="F1335" s="6">
        <f>E1335*0.22</f>
        <v/>
      </c>
      <c r="G1335" s="6">
        <f>E1335+F1335</f>
        <v/>
      </c>
      <c r="H1335" s="10" t="n">
        <v>10</v>
      </c>
      <c r="I1335" s="7">
        <f>H1335/(180*0.714)</f>
        <v/>
      </c>
    </row>
    <row r="1336">
      <c r="A1336" s="4" t="inlineStr">
        <is>
          <t>SERV-11332</t>
        </is>
      </c>
      <c r="B1336" s="5" t="inlineStr">
        <is>
          <t>Técnico de Enfermagem / Agente de Saúde</t>
        </is>
      </c>
      <c r="C1336" s="4" t="inlineStr">
        <is>
          <t>Efetivo Concursado</t>
        </is>
      </c>
      <c r="D1336" s="4" t="inlineStr">
        <is>
          <t>SEC-SAU</t>
        </is>
      </c>
      <c r="E1336" s="6" t="n">
        <v>3933.31</v>
      </c>
      <c r="F1336" s="6">
        <f>E1336*0.22</f>
        <v/>
      </c>
      <c r="G1336" s="6">
        <f>E1336+F1336</f>
        <v/>
      </c>
      <c r="H1336" s="10" t="n">
        <v>9</v>
      </c>
      <c r="I1336" s="7">
        <f>H1336/(180*0.714)</f>
        <v/>
      </c>
    </row>
    <row r="1337">
      <c r="A1337" s="4" t="inlineStr">
        <is>
          <t>SERV-11333</t>
        </is>
      </c>
      <c r="B1337" s="5" t="inlineStr">
        <is>
          <t>Técnico de Enfermagem / Agente de Saúde</t>
        </is>
      </c>
      <c r="C1337" s="4" t="inlineStr">
        <is>
          <t>Efetivo Concursado</t>
        </is>
      </c>
      <c r="D1337" s="4" t="inlineStr">
        <is>
          <t>SEC-SAU</t>
        </is>
      </c>
      <c r="E1337" s="6" t="n">
        <v>4117.29</v>
      </c>
      <c r="F1337" s="6">
        <f>E1337*0.22</f>
        <v/>
      </c>
      <c r="G1337" s="6">
        <f>E1337+F1337</f>
        <v/>
      </c>
      <c r="H1337" s="10" t="n">
        <v>9</v>
      </c>
      <c r="I1337" s="7">
        <f>H1337/(180*0.714)</f>
        <v/>
      </c>
    </row>
    <row r="1338">
      <c r="A1338" s="4" t="inlineStr">
        <is>
          <t>SERV-11334</t>
        </is>
      </c>
      <c r="B1338" s="5" t="inlineStr">
        <is>
          <t>Técnico de Enfermagem / Agente de Saúde</t>
        </is>
      </c>
      <c r="C1338" s="4" t="inlineStr">
        <is>
          <t>Efetivo Concursado</t>
        </is>
      </c>
      <c r="D1338" s="4" t="inlineStr">
        <is>
          <t>SEC-SAU</t>
        </is>
      </c>
      <c r="E1338" s="6" t="n">
        <v>3811.61</v>
      </c>
      <c r="F1338" s="6">
        <f>E1338*0.22</f>
        <v/>
      </c>
      <c r="G1338" s="6">
        <f>E1338+F1338</f>
        <v/>
      </c>
      <c r="H1338" s="10" t="n">
        <v>3</v>
      </c>
      <c r="I1338" s="7">
        <f>H1338/(180*0.714)</f>
        <v/>
      </c>
    </row>
    <row r="1339">
      <c r="A1339" s="4" t="inlineStr">
        <is>
          <t>SERV-11335</t>
        </is>
      </c>
      <c r="B1339" s="5" t="inlineStr">
        <is>
          <t>Técnico de Enfermagem / Agente de Saúde</t>
        </is>
      </c>
      <c r="C1339" s="4" t="inlineStr">
        <is>
          <t>Efetivo Concursado</t>
        </is>
      </c>
      <c r="D1339" s="4" t="inlineStr">
        <is>
          <t>SEC-SAU</t>
        </is>
      </c>
      <c r="E1339" s="6" t="n">
        <v>4071.41</v>
      </c>
      <c r="F1339" s="6">
        <f>E1339*0.22</f>
        <v/>
      </c>
      <c r="G1339" s="6">
        <f>E1339+F1339</f>
        <v/>
      </c>
      <c r="H1339" s="10" t="n">
        <v>6</v>
      </c>
      <c r="I1339" s="7">
        <f>H1339/(180*0.714)</f>
        <v/>
      </c>
    </row>
    <row r="1340">
      <c r="A1340" s="4" t="inlineStr">
        <is>
          <t>SERV-11336</t>
        </is>
      </c>
      <c r="B1340" s="5" t="inlineStr">
        <is>
          <t>Técnico de Enfermagem / Agente de Saúde</t>
        </is>
      </c>
      <c r="C1340" s="4" t="inlineStr">
        <is>
          <t>Efetivo Concursado</t>
        </is>
      </c>
      <c r="D1340" s="4" t="inlineStr">
        <is>
          <t>SEC-SAU</t>
        </is>
      </c>
      <c r="E1340" s="6" t="n">
        <v>3879.18</v>
      </c>
      <c r="F1340" s="6">
        <f>E1340*0.22</f>
        <v/>
      </c>
      <c r="G1340" s="6">
        <f>E1340+F1340</f>
        <v/>
      </c>
      <c r="H1340" s="10" t="n">
        <v>4</v>
      </c>
      <c r="I1340" s="7">
        <f>H1340/(180*0.714)</f>
        <v/>
      </c>
    </row>
    <row r="1341">
      <c r="A1341" s="4" t="inlineStr">
        <is>
          <t>SERV-11337</t>
        </is>
      </c>
      <c r="B1341" s="5" t="inlineStr">
        <is>
          <t>Técnico de Enfermagem / Agente de Saúde</t>
        </is>
      </c>
      <c r="C1341" s="4" t="inlineStr">
        <is>
          <t>Efetivo Concursado</t>
        </is>
      </c>
      <c r="D1341" s="4" t="inlineStr">
        <is>
          <t>SEC-SAU</t>
        </is>
      </c>
      <c r="E1341" s="6" t="n">
        <v>3769.15</v>
      </c>
      <c r="F1341" s="6">
        <f>E1341*0.22</f>
        <v/>
      </c>
      <c r="G1341" s="6">
        <f>E1341+F1341</f>
        <v/>
      </c>
      <c r="H1341" s="10" t="n">
        <v>10</v>
      </c>
      <c r="I1341" s="7">
        <f>H1341/(180*0.714)</f>
        <v/>
      </c>
    </row>
    <row r="1342">
      <c r="A1342" s="4" t="inlineStr">
        <is>
          <t>SERV-11338</t>
        </is>
      </c>
      <c r="B1342" s="5" t="inlineStr">
        <is>
          <t>Técnico de Enfermagem / Agente de Saúde</t>
        </is>
      </c>
      <c r="C1342" s="4" t="inlineStr">
        <is>
          <t>Efetivo Concursado</t>
        </is>
      </c>
      <c r="D1342" s="4" t="inlineStr">
        <is>
          <t>SEC-SAU</t>
        </is>
      </c>
      <c r="E1342" s="6" t="n">
        <v>4173.61</v>
      </c>
      <c r="F1342" s="6">
        <f>E1342*0.22</f>
        <v/>
      </c>
      <c r="G1342" s="6">
        <f>E1342+F1342</f>
        <v/>
      </c>
      <c r="H1342" s="10" t="n">
        <v>4</v>
      </c>
      <c r="I1342" s="7">
        <f>H1342/(180*0.714)</f>
        <v/>
      </c>
    </row>
    <row r="1343">
      <c r="A1343" s="4" t="inlineStr">
        <is>
          <t>SERV-11339</t>
        </is>
      </c>
      <c r="B1343" s="5" t="inlineStr">
        <is>
          <t>Técnico de Enfermagem / Agente de Saúde</t>
        </is>
      </c>
      <c r="C1343" s="4" t="inlineStr">
        <is>
          <t>Efetivo Concursado</t>
        </is>
      </c>
      <c r="D1343" s="4" t="inlineStr">
        <is>
          <t>SEC-SAU</t>
        </is>
      </c>
      <c r="E1343" s="6" t="n">
        <v>4179.48</v>
      </c>
      <c r="F1343" s="6">
        <f>E1343*0.22</f>
        <v/>
      </c>
      <c r="G1343" s="6">
        <f>E1343+F1343</f>
        <v/>
      </c>
      <c r="H1343" s="10" t="n">
        <v>10</v>
      </c>
      <c r="I1343" s="7">
        <f>H1343/(180*0.714)</f>
        <v/>
      </c>
    </row>
    <row r="1344">
      <c r="A1344" s="4" t="inlineStr">
        <is>
          <t>SERV-11340</t>
        </is>
      </c>
      <c r="B1344" s="5" t="inlineStr">
        <is>
          <t>Técnico de Enfermagem / Agente de Saúde</t>
        </is>
      </c>
      <c r="C1344" s="4" t="inlineStr">
        <is>
          <t>Efetivo Concursado</t>
        </is>
      </c>
      <c r="D1344" s="4" t="inlineStr">
        <is>
          <t>SEC-SAU</t>
        </is>
      </c>
      <c r="E1344" s="6" t="n">
        <v>3580.41</v>
      </c>
      <c r="F1344" s="6">
        <f>E1344*0.22</f>
        <v/>
      </c>
      <c r="G1344" s="6">
        <f>E1344+F1344</f>
        <v/>
      </c>
      <c r="H1344" s="10" t="n">
        <v>6</v>
      </c>
      <c r="I1344" s="7">
        <f>H1344/(180*0.714)</f>
        <v/>
      </c>
    </row>
    <row r="1345">
      <c r="A1345" s="4" t="inlineStr">
        <is>
          <t>SERV-11341</t>
        </is>
      </c>
      <c r="B1345" s="5" t="inlineStr">
        <is>
          <t>Técnico de Enfermagem / Agente de Saúde</t>
        </is>
      </c>
      <c r="C1345" s="4" t="inlineStr">
        <is>
          <t>Efetivo Concursado</t>
        </is>
      </c>
      <c r="D1345" s="4" t="inlineStr">
        <is>
          <t>SEC-SAU</t>
        </is>
      </c>
      <c r="E1345" s="6" t="n">
        <v>3641.68</v>
      </c>
      <c r="F1345" s="6">
        <f>E1345*0.22</f>
        <v/>
      </c>
      <c r="G1345" s="6">
        <f>E1345+F1345</f>
        <v/>
      </c>
      <c r="H1345" s="10" t="n">
        <v>9</v>
      </c>
      <c r="I1345" s="7">
        <f>H1345/(180*0.714)</f>
        <v/>
      </c>
    </row>
    <row r="1346">
      <c r="A1346" s="4" t="inlineStr">
        <is>
          <t>SERV-11342</t>
        </is>
      </c>
      <c r="B1346" s="5" t="inlineStr">
        <is>
          <t>Técnico de Enfermagem / Agente de Saúde</t>
        </is>
      </c>
      <c r="C1346" s="4" t="inlineStr">
        <is>
          <t>Efetivo Concursado</t>
        </is>
      </c>
      <c r="D1346" s="4" t="inlineStr">
        <is>
          <t>SEC-SAU</t>
        </is>
      </c>
      <c r="E1346" s="6" t="n">
        <v>3874.85</v>
      </c>
      <c r="F1346" s="6">
        <f>E1346*0.22</f>
        <v/>
      </c>
      <c r="G1346" s="6">
        <f>E1346+F1346</f>
        <v/>
      </c>
      <c r="H1346" s="10" t="n">
        <v>3</v>
      </c>
      <c r="I1346" s="7">
        <f>H1346/(180*0.714)</f>
        <v/>
      </c>
    </row>
    <row r="1347">
      <c r="A1347" s="4" t="inlineStr">
        <is>
          <t>SERV-11343</t>
        </is>
      </c>
      <c r="B1347" s="5" t="inlineStr">
        <is>
          <t>Técnico de Enfermagem / Agente de Saúde</t>
        </is>
      </c>
      <c r="C1347" s="4" t="inlineStr">
        <is>
          <t>Efetivo Concursado</t>
        </is>
      </c>
      <c r="D1347" s="4" t="inlineStr">
        <is>
          <t>SEC-SAU</t>
        </is>
      </c>
      <c r="E1347" s="6" t="n">
        <v>3894.97</v>
      </c>
      <c r="F1347" s="6">
        <f>E1347*0.22</f>
        <v/>
      </c>
      <c r="G1347" s="6">
        <f>E1347+F1347</f>
        <v/>
      </c>
      <c r="H1347" s="10" t="n">
        <v>11</v>
      </c>
      <c r="I1347" s="7">
        <f>H1347/(180*0.714)</f>
        <v/>
      </c>
    </row>
    <row r="1348">
      <c r="A1348" s="4" t="inlineStr">
        <is>
          <t>SERV-11344</t>
        </is>
      </c>
      <c r="B1348" s="5" t="inlineStr">
        <is>
          <t>Técnico de Enfermagem / Agente de Saúde</t>
        </is>
      </c>
      <c r="C1348" s="4" t="inlineStr">
        <is>
          <t>Efetivo Concursado</t>
        </is>
      </c>
      <c r="D1348" s="4" t="inlineStr">
        <is>
          <t>SEC-SAU</t>
        </is>
      </c>
      <c r="E1348" s="6" t="n">
        <v>3739.06</v>
      </c>
      <c r="F1348" s="6">
        <f>E1348*0.22</f>
        <v/>
      </c>
      <c r="G1348" s="6">
        <f>E1348+F1348</f>
        <v/>
      </c>
      <c r="H1348" s="10" t="n">
        <v>10</v>
      </c>
      <c r="I1348" s="7">
        <f>H1348/(180*0.714)</f>
        <v/>
      </c>
    </row>
    <row r="1349">
      <c r="A1349" s="4" t="inlineStr">
        <is>
          <t>SERV-11345</t>
        </is>
      </c>
      <c r="B1349" s="5" t="inlineStr">
        <is>
          <t>Técnico de Enfermagem / Agente de Saúde</t>
        </is>
      </c>
      <c r="C1349" s="4" t="inlineStr">
        <is>
          <t>Efetivo Concursado</t>
        </is>
      </c>
      <c r="D1349" s="4" t="inlineStr">
        <is>
          <t>SEC-SAU</t>
        </is>
      </c>
      <c r="E1349" s="6" t="n">
        <v>4041.87</v>
      </c>
      <c r="F1349" s="6">
        <f>E1349*0.22</f>
        <v/>
      </c>
      <c r="G1349" s="6">
        <f>E1349+F1349</f>
        <v/>
      </c>
      <c r="H1349" s="10" t="n">
        <v>9</v>
      </c>
      <c r="I1349" s="7">
        <f>H1349/(180*0.714)</f>
        <v/>
      </c>
    </row>
    <row r="1350">
      <c r="A1350" s="4" t="inlineStr">
        <is>
          <t>SERV-11346</t>
        </is>
      </c>
      <c r="B1350" s="5" t="inlineStr">
        <is>
          <t>Técnico de Enfermagem / Agente de Saúde</t>
        </is>
      </c>
      <c r="C1350" s="4" t="inlineStr">
        <is>
          <t>Efetivo Concursado</t>
        </is>
      </c>
      <c r="D1350" s="4" t="inlineStr">
        <is>
          <t>SEC-SAU</t>
        </is>
      </c>
      <c r="E1350" s="6" t="n">
        <v>3886.57</v>
      </c>
      <c r="F1350" s="6">
        <f>E1350*0.22</f>
        <v/>
      </c>
      <c r="G1350" s="6">
        <f>E1350+F1350</f>
        <v/>
      </c>
      <c r="H1350" s="10" t="n">
        <v>5</v>
      </c>
      <c r="I1350" s="7">
        <f>H1350/(180*0.714)</f>
        <v/>
      </c>
    </row>
    <row r="1351">
      <c r="A1351" s="4" t="inlineStr">
        <is>
          <t>SERV-11347</t>
        </is>
      </c>
      <c r="B1351" s="5" t="inlineStr">
        <is>
          <t>Técnico de Enfermagem / Agente de Saúde</t>
        </is>
      </c>
      <c r="C1351" s="4" t="inlineStr">
        <is>
          <t>Efetivo Concursado</t>
        </is>
      </c>
      <c r="D1351" s="4" t="inlineStr">
        <is>
          <t>SEC-SAU</t>
        </is>
      </c>
      <c r="E1351" s="6" t="n">
        <v>3890.9</v>
      </c>
      <c r="F1351" s="6">
        <f>E1351*0.22</f>
        <v/>
      </c>
      <c r="G1351" s="6">
        <f>E1351+F1351</f>
        <v/>
      </c>
      <c r="H1351" s="10" t="n">
        <v>11</v>
      </c>
      <c r="I1351" s="7">
        <f>H1351/(180*0.714)</f>
        <v/>
      </c>
    </row>
    <row r="1352">
      <c r="A1352" s="4" t="inlineStr">
        <is>
          <t>SERV-11348</t>
        </is>
      </c>
      <c r="B1352" s="5" t="inlineStr">
        <is>
          <t>Técnico de Enfermagem / Agente de Saúde</t>
        </is>
      </c>
      <c r="C1352" s="4" t="inlineStr">
        <is>
          <t>Efetivo Concursado</t>
        </is>
      </c>
      <c r="D1352" s="4" t="inlineStr">
        <is>
          <t>SEC-SAU</t>
        </is>
      </c>
      <c r="E1352" s="6" t="n">
        <v>3901.03</v>
      </c>
      <c r="F1352" s="6">
        <f>E1352*0.22</f>
        <v/>
      </c>
      <c r="G1352" s="6">
        <f>E1352+F1352</f>
        <v/>
      </c>
      <c r="H1352" s="10" t="n">
        <v>12</v>
      </c>
      <c r="I1352" s="7">
        <f>H1352/(180*0.714)</f>
        <v/>
      </c>
    </row>
    <row r="1353">
      <c r="A1353" s="4" t="inlineStr">
        <is>
          <t>SERV-11349</t>
        </is>
      </c>
      <c r="B1353" s="5" t="inlineStr">
        <is>
          <t>Técnico de Enfermagem / Agente de Saúde</t>
        </is>
      </c>
      <c r="C1353" s="4" t="inlineStr">
        <is>
          <t>Efetivo Concursado</t>
        </is>
      </c>
      <c r="D1353" s="4" t="inlineStr">
        <is>
          <t>SEC-SAU</t>
        </is>
      </c>
      <c r="E1353" s="6" t="n">
        <v>3956.61</v>
      </c>
      <c r="F1353" s="6">
        <f>E1353*0.22</f>
        <v/>
      </c>
      <c r="G1353" s="6">
        <f>E1353+F1353</f>
        <v/>
      </c>
      <c r="H1353" s="10" t="n">
        <v>9</v>
      </c>
      <c r="I1353" s="7">
        <f>H1353/(180*0.714)</f>
        <v/>
      </c>
    </row>
    <row r="1354">
      <c r="A1354" s="4" t="inlineStr">
        <is>
          <t>SERV-11350</t>
        </is>
      </c>
      <c r="B1354" s="5" t="inlineStr">
        <is>
          <t>Técnico de Enfermagem / Agente de Saúde</t>
        </is>
      </c>
      <c r="C1354" s="4" t="inlineStr">
        <is>
          <t>Efetivo Concursado</t>
        </is>
      </c>
      <c r="D1354" s="4" t="inlineStr">
        <is>
          <t>SEC-SAU</t>
        </is>
      </c>
      <c r="E1354" s="6" t="n">
        <v>4101.38</v>
      </c>
      <c r="F1354" s="6">
        <f>E1354*0.22</f>
        <v/>
      </c>
      <c r="G1354" s="6">
        <f>E1354+F1354</f>
        <v/>
      </c>
      <c r="H1354" s="10" t="n">
        <v>7</v>
      </c>
      <c r="I1354" s="7">
        <f>H1354/(180*0.714)</f>
        <v/>
      </c>
    </row>
    <row r="1355">
      <c r="A1355" s="4" t="inlineStr">
        <is>
          <t>SERV-11351</t>
        </is>
      </c>
      <c r="B1355" s="5" t="inlineStr">
        <is>
          <t>Técnico de Enfermagem / Agente de Saúde</t>
        </is>
      </c>
      <c r="C1355" s="4" t="inlineStr">
        <is>
          <t>Efetivo Concursado</t>
        </is>
      </c>
      <c r="D1355" s="4" t="inlineStr">
        <is>
          <t>SEC-SAU</t>
        </is>
      </c>
      <c r="E1355" s="6" t="n">
        <v>3651.58</v>
      </c>
      <c r="F1355" s="6">
        <f>E1355*0.22</f>
        <v/>
      </c>
      <c r="G1355" s="6">
        <f>E1355+F1355</f>
        <v/>
      </c>
      <c r="H1355" s="10" t="n">
        <v>5</v>
      </c>
      <c r="I1355" s="7">
        <f>H1355/(180*0.714)</f>
        <v/>
      </c>
    </row>
    <row r="1356">
      <c r="A1356" s="4" t="inlineStr">
        <is>
          <t>SERV-11352</t>
        </is>
      </c>
      <c r="B1356" s="5" t="inlineStr">
        <is>
          <t>Técnico de Enfermagem / Agente de Saúde</t>
        </is>
      </c>
      <c r="C1356" s="4" t="inlineStr">
        <is>
          <t>Efetivo Concursado</t>
        </is>
      </c>
      <c r="D1356" s="4" t="inlineStr">
        <is>
          <t>SEC-SAU</t>
        </is>
      </c>
      <c r="E1356" s="6" t="n">
        <v>3644.08</v>
      </c>
      <c r="F1356" s="6">
        <f>E1356*0.22</f>
        <v/>
      </c>
      <c r="G1356" s="6">
        <f>E1356+F1356</f>
        <v/>
      </c>
      <c r="H1356" s="10" t="n">
        <v>12</v>
      </c>
      <c r="I1356" s="7">
        <f>H1356/(180*0.714)</f>
        <v/>
      </c>
    </row>
    <row r="1357">
      <c r="A1357" s="4" t="inlineStr">
        <is>
          <t>SERV-11353</t>
        </is>
      </c>
      <c r="B1357" s="5" t="inlineStr">
        <is>
          <t>Técnico de Enfermagem / Agente de Saúde</t>
        </is>
      </c>
      <c r="C1357" s="4" t="inlineStr">
        <is>
          <t>Efetivo Concursado</t>
        </is>
      </c>
      <c r="D1357" s="4" t="inlineStr">
        <is>
          <t>SEC-SAU</t>
        </is>
      </c>
      <c r="E1357" s="6" t="n">
        <v>3651.69</v>
      </c>
      <c r="F1357" s="6">
        <f>E1357*0.22</f>
        <v/>
      </c>
      <c r="G1357" s="6">
        <f>E1357+F1357</f>
        <v/>
      </c>
      <c r="H1357" s="10" t="n">
        <v>8</v>
      </c>
      <c r="I1357" s="7">
        <f>H1357/(180*0.714)</f>
        <v/>
      </c>
    </row>
    <row r="1358">
      <c r="A1358" s="4" t="inlineStr">
        <is>
          <t>SERV-11354</t>
        </is>
      </c>
      <c r="B1358" s="5" t="inlineStr">
        <is>
          <t>Técnico de Enfermagem / Agente de Saúde</t>
        </is>
      </c>
      <c r="C1358" s="4" t="inlineStr">
        <is>
          <t>Efetivo Concursado</t>
        </is>
      </c>
      <c r="D1358" s="4" t="inlineStr">
        <is>
          <t>SEC-SAU</t>
        </is>
      </c>
      <c r="E1358" s="6" t="n">
        <v>3766.78</v>
      </c>
      <c r="F1358" s="6">
        <f>E1358*0.22</f>
        <v/>
      </c>
      <c r="G1358" s="6">
        <f>E1358+F1358</f>
        <v/>
      </c>
      <c r="H1358" s="10" t="n">
        <v>11</v>
      </c>
      <c r="I1358" s="7">
        <f>H1358/(180*0.714)</f>
        <v/>
      </c>
    </row>
    <row r="1359">
      <c r="A1359" s="4" t="inlineStr">
        <is>
          <t>SERV-11355</t>
        </is>
      </c>
      <c r="B1359" s="5" t="inlineStr">
        <is>
          <t>Técnico de Enfermagem / Agente de Saúde</t>
        </is>
      </c>
      <c r="C1359" s="4" t="inlineStr">
        <is>
          <t>Efetivo Concursado</t>
        </is>
      </c>
      <c r="D1359" s="4" t="inlineStr">
        <is>
          <t>SEC-SAU</t>
        </is>
      </c>
      <c r="E1359" s="6" t="n">
        <v>3801.16</v>
      </c>
      <c r="F1359" s="6">
        <f>E1359*0.22</f>
        <v/>
      </c>
      <c r="G1359" s="6">
        <f>E1359+F1359</f>
        <v/>
      </c>
      <c r="H1359" s="10" t="n">
        <v>13</v>
      </c>
      <c r="I1359" s="7">
        <f>H1359/(180*0.714)</f>
        <v/>
      </c>
    </row>
    <row r="1360">
      <c r="A1360" s="4" t="inlineStr">
        <is>
          <t>SERV-11356</t>
        </is>
      </c>
      <c r="B1360" s="5" t="inlineStr">
        <is>
          <t>Técnico de Enfermagem / Agente de Saúde</t>
        </is>
      </c>
      <c r="C1360" s="4" t="inlineStr">
        <is>
          <t>Efetivo Concursado</t>
        </is>
      </c>
      <c r="D1360" s="4" t="inlineStr">
        <is>
          <t>SEC-SAU</t>
        </is>
      </c>
      <c r="E1360" s="6" t="n">
        <v>3786.68</v>
      </c>
      <c r="F1360" s="6">
        <f>E1360*0.22</f>
        <v/>
      </c>
      <c r="G1360" s="6">
        <f>E1360+F1360</f>
        <v/>
      </c>
      <c r="H1360" s="10" t="n">
        <v>12</v>
      </c>
      <c r="I1360" s="7">
        <f>H1360/(180*0.714)</f>
        <v/>
      </c>
    </row>
    <row r="1361">
      <c r="A1361" s="4" t="inlineStr">
        <is>
          <t>SERV-11357</t>
        </is>
      </c>
      <c r="B1361" s="5" t="inlineStr">
        <is>
          <t>Técnico de Enfermagem / Agente de Saúde</t>
        </is>
      </c>
      <c r="C1361" s="4" t="inlineStr">
        <is>
          <t>Efetivo Concursado</t>
        </is>
      </c>
      <c r="D1361" s="4" t="inlineStr">
        <is>
          <t>SEC-SAU</t>
        </is>
      </c>
      <c r="E1361" s="6" t="n">
        <v>3541.93</v>
      </c>
      <c r="F1361" s="6">
        <f>E1361*0.22</f>
        <v/>
      </c>
      <c r="G1361" s="6">
        <f>E1361+F1361</f>
        <v/>
      </c>
      <c r="H1361" s="10" t="n">
        <v>4</v>
      </c>
      <c r="I1361" s="7">
        <f>H1361/(180*0.714)</f>
        <v/>
      </c>
    </row>
    <row r="1362">
      <c r="A1362" s="4" t="inlineStr">
        <is>
          <t>SERV-11358</t>
        </is>
      </c>
      <c r="B1362" s="5" t="inlineStr">
        <is>
          <t>Técnico de Enfermagem / Agente de Saúde</t>
        </is>
      </c>
      <c r="C1362" s="4" t="inlineStr">
        <is>
          <t>Efetivo Concursado</t>
        </is>
      </c>
      <c r="D1362" s="4" t="inlineStr">
        <is>
          <t>SEC-SAU</t>
        </is>
      </c>
      <c r="E1362" s="6" t="n">
        <v>3968.82</v>
      </c>
      <c r="F1362" s="6">
        <f>E1362*0.22</f>
        <v/>
      </c>
      <c r="G1362" s="6">
        <f>E1362+F1362</f>
        <v/>
      </c>
      <c r="H1362" s="10" t="n">
        <v>10</v>
      </c>
      <c r="I1362" s="7">
        <f>H1362/(180*0.714)</f>
        <v/>
      </c>
    </row>
    <row r="1363">
      <c r="A1363" s="4" t="inlineStr">
        <is>
          <t>SERV-11359</t>
        </is>
      </c>
      <c r="B1363" s="5" t="inlineStr">
        <is>
          <t>Técnico de Enfermagem / Agente de Saúde</t>
        </is>
      </c>
      <c r="C1363" s="4" t="inlineStr">
        <is>
          <t>Efetivo Concursado</t>
        </is>
      </c>
      <c r="D1363" s="4" t="inlineStr">
        <is>
          <t>SEC-SAU</t>
        </is>
      </c>
      <c r="E1363" s="6" t="n">
        <v>4061.14</v>
      </c>
      <c r="F1363" s="6">
        <f>E1363*0.22</f>
        <v/>
      </c>
      <c r="G1363" s="6">
        <f>E1363+F1363</f>
        <v/>
      </c>
      <c r="H1363" s="10" t="n">
        <v>13</v>
      </c>
      <c r="I1363" s="7">
        <f>H1363/(180*0.714)</f>
        <v/>
      </c>
    </row>
    <row r="1364">
      <c r="A1364" s="4" t="inlineStr">
        <is>
          <t>SERV-11360</t>
        </is>
      </c>
      <c r="B1364" s="5" t="inlineStr">
        <is>
          <t>Técnico de Enfermagem / Agente de Saúde</t>
        </is>
      </c>
      <c r="C1364" s="4" t="inlineStr">
        <is>
          <t>Efetivo Concursado</t>
        </is>
      </c>
      <c r="D1364" s="4" t="inlineStr">
        <is>
          <t>SEC-SAU</t>
        </is>
      </c>
      <c r="E1364" s="6" t="n">
        <v>3539.04</v>
      </c>
      <c r="F1364" s="6">
        <f>E1364*0.22</f>
        <v/>
      </c>
      <c r="G1364" s="6">
        <f>E1364+F1364</f>
        <v/>
      </c>
      <c r="H1364" s="10" t="n">
        <v>11</v>
      </c>
      <c r="I1364" s="7">
        <f>H1364/(180*0.714)</f>
        <v/>
      </c>
    </row>
    <row r="1365">
      <c r="A1365" s="4" t="inlineStr">
        <is>
          <t>SERV-11361</t>
        </is>
      </c>
      <c r="B1365" s="5" t="inlineStr">
        <is>
          <t>Técnico de Enfermagem / Agente de Saúde</t>
        </is>
      </c>
      <c r="C1365" s="4" t="inlineStr">
        <is>
          <t>Efetivo Concursado</t>
        </is>
      </c>
      <c r="D1365" s="4" t="inlineStr">
        <is>
          <t>SEC-SAU</t>
        </is>
      </c>
      <c r="E1365" s="6" t="n">
        <v>3983.18</v>
      </c>
      <c r="F1365" s="6">
        <f>E1365*0.22</f>
        <v/>
      </c>
      <c r="G1365" s="6">
        <f>E1365+F1365</f>
        <v/>
      </c>
      <c r="H1365" s="10" t="n">
        <v>5</v>
      </c>
      <c r="I1365" s="7">
        <f>H1365/(180*0.714)</f>
        <v/>
      </c>
    </row>
    <row r="1366">
      <c r="A1366" s="4" t="inlineStr">
        <is>
          <t>SERV-11362</t>
        </is>
      </c>
      <c r="B1366" s="5" t="inlineStr">
        <is>
          <t>Técnico de Enfermagem / Agente de Saúde</t>
        </is>
      </c>
      <c r="C1366" s="4" t="inlineStr">
        <is>
          <t>Efetivo Concursado</t>
        </is>
      </c>
      <c r="D1366" s="4" t="inlineStr">
        <is>
          <t>SEC-SAU</t>
        </is>
      </c>
      <c r="E1366" s="6" t="n">
        <v>3527.55</v>
      </c>
      <c r="F1366" s="6">
        <f>E1366*0.22</f>
        <v/>
      </c>
      <c r="G1366" s="6">
        <f>E1366+F1366</f>
        <v/>
      </c>
      <c r="H1366" s="10" t="n">
        <v>8</v>
      </c>
      <c r="I1366" s="7">
        <f>H1366/(180*0.714)</f>
        <v/>
      </c>
    </row>
    <row r="1367">
      <c r="A1367" s="4" t="inlineStr">
        <is>
          <t>SERV-11363</t>
        </is>
      </c>
      <c r="B1367" s="5" t="inlineStr">
        <is>
          <t>Técnico de Enfermagem / Agente de Saúde</t>
        </is>
      </c>
      <c r="C1367" s="4" t="inlineStr">
        <is>
          <t>Efetivo Concursado</t>
        </is>
      </c>
      <c r="D1367" s="4" t="inlineStr">
        <is>
          <t>SEC-SAU</t>
        </is>
      </c>
      <c r="E1367" s="6" t="n">
        <v>3551.62</v>
      </c>
      <c r="F1367" s="6">
        <f>E1367*0.22</f>
        <v/>
      </c>
      <c r="G1367" s="6">
        <f>E1367+F1367</f>
        <v/>
      </c>
      <c r="H1367" s="10" t="n">
        <v>13</v>
      </c>
      <c r="I1367" s="7">
        <f>H1367/(180*0.714)</f>
        <v/>
      </c>
    </row>
    <row r="1368">
      <c r="A1368" s="4" t="inlineStr">
        <is>
          <t>SERV-11364</t>
        </is>
      </c>
      <c r="B1368" s="5" t="inlineStr">
        <is>
          <t>Técnico de Enfermagem / Agente de Saúde</t>
        </is>
      </c>
      <c r="C1368" s="4" t="inlineStr">
        <is>
          <t>Efetivo Concursado</t>
        </is>
      </c>
      <c r="D1368" s="4" t="inlineStr">
        <is>
          <t>SEC-SAU</t>
        </is>
      </c>
      <c r="E1368" s="6" t="n">
        <v>3926.74</v>
      </c>
      <c r="F1368" s="6">
        <f>E1368*0.22</f>
        <v/>
      </c>
      <c r="G1368" s="6">
        <f>E1368+F1368</f>
        <v/>
      </c>
      <c r="H1368" s="10" t="n">
        <v>12</v>
      </c>
      <c r="I1368" s="7">
        <f>H1368/(180*0.714)</f>
        <v/>
      </c>
    </row>
    <row r="1369">
      <c r="A1369" s="4" t="inlineStr">
        <is>
          <t>SERV-11365</t>
        </is>
      </c>
      <c r="B1369" s="5" t="inlineStr">
        <is>
          <t>Técnico de Enfermagem / Agente de Saúde</t>
        </is>
      </c>
      <c r="C1369" s="4" t="inlineStr">
        <is>
          <t>Efetivo Concursado</t>
        </is>
      </c>
      <c r="D1369" s="4" t="inlineStr">
        <is>
          <t>SEC-SAU</t>
        </is>
      </c>
      <c r="E1369" s="6" t="n">
        <v>3781.53</v>
      </c>
      <c r="F1369" s="6">
        <f>E1369*0.22</f>
        <v/>
      </c>
      <c r="G1369" s="6">
        <f>E1369+F1369</f>
        <v/>
      </c>
      <c r="H1369" s="10" t="n">
        <v>6</v>
      </c>
      <c r="I1369" s="7">
        <f>H1369/(180*0.714)</f>
        <v/>
      </c>
    </row>
    <row r="1370">
      <c r="A1370" s="4" t="inlineStr">
        <is>
          <t>SERV-11366</t>
        </is>
      </c>
      <c r="B1370" s="5" t="inlineStr">
        <is>
          <t>Técnico de Enfermagem / Agente de Saúde</t>
        </is>
      </c>
      <c r="C1370" s="4" t="inlineStr">
        <is>
          <t>Efetivo Concursado</t>
        </is>
      </c>
      <c r="D1370" s="4" t="inlineStr">
        <is>
          <t>SEC-SAU</t>
        </is>
      </c>
      <c r="E1370" s="6" t="n">
        <v>4076.49</v>
      </c>
      <c r="F1370" s="6">
        <f>E1370*0.22</f>
        <v/>
      </c>
      <c r="G1370" s="6">
        <f>E1370+F1370</f>
        <v/>
      </c>
      <c r="H1370" s="10" t="n">
        <v>11</v>
      </c>
      <c r="I1370" s="7">
        <f>H1370/(180*0.714)</f>
        <v/>
      </c>
    </row>
    <row r="1371">
      <c r="A1371" s="4" t="inlineStr">
        <is>
          <t>SERV-11367</t>
        </is>
      </c>
      <c r="B1371" s="5" t="inlineStr">
        <is>
          <t>Técnico de Enfermagem / Agente de Saúde</t>
        </is>
      </c>
      <c r="C1371" s="4" t="inlineStr">
        <is>
          <t>Efetivo Concursado</t>
        </is>
      </c>
      <c r="D1371" s="4" t="inlineStr">
        <is>
          <t>SEC-SAU</t>
        </is>
      </c>
      <c r="E1371" s="6" t="n">
        <v>3659.07</v>
      </c>
      <c r="F1371" s="6">
        <f>E1371*0.22</f>
        <v/>
      </c>
      <c r="G1371" s="6">
        <f>E1371+F1371</f>
        <v/>
      </c>
      <c r="H1371" s="10" t="n">
        <v>12</v>
      </c>
      <c r="I1371" s="7">
        <f>H1371/(180*0.714)</f>
        <v/>
      </c>
    </row>
    <row r="1372">
      <c r="A1372" s="4" t="inlineStr">
        <is>
          <t>SERV-11368</t>
        </is>
      </c>
      <c r="B1372" s="5" t="inlineStr">
        <is>
          <t>Técnico de Enfermagem / Agente de Saúde</t>
        </is>
      </c>
      <c r="C1372" s="4" t="inlineStr">
        <is>
          <t>Efetivo Concursado</t>
        </is>
      </c>
      <c r="D1372" s="4" t="inlineStr">
        <is>
          <t>SEC-SAU</t>
        </is>
      </c>
      <c r="E1372" s="6" t="n">
        <v>3962.08</v>
      </c>
      <c r="F1372" s="6">
        <f>E1372*0.22</f>
        <v/>
      </c>
      <c r="G1372" s="6">
        <f>E1372+F1372</f>
        <v/>
      </c>
      <c r="H1372" s="10" t="n">
        <v>13</v>
      </c>
      <c r="I1372" s="7">
        <f>H1372/(180*0.714)</f>
        <v/>
      </c>
    </row>
    <row r="1373">
      <c r="A1373" s="4" t="inlineStr">
        <is>
          <t>SERV-11369</t>
        </is>
      </c>
      <c r="B1373" s="5" t="inlineStr">
        <is>
          <t>Técnico de Enfermagem / Agente de Saúde</t>
        </is>
      </c>
      <c r="C1373" s="4" t="inlineStr">
        <is>
          <t>Efetivo Concursado</t>
        </is>
      </c>
      <c r="D1373" s="4" t="inlineStr">
        <is>
          <t>SEC-SAU</t>
        </is>
      </c>
      <c r="E1373" s="6" t="n">
        <v>3523.64</v>
      </c>
      <c r="F1373" s="6">
        <f>E1373*0.22</f>
        <v/>
      </c>
      <c r="G1373" s="6">
        <f>E1373+F1373</f>
        <v/>
      </c>
      <c r="H1373" s="10" t="n">
        <v>13</v>
      </c>
      <c r="I1373" s="7">
        <f>H1373/(180*0.714)</f>
        <v/>
      </c>
    </row>
    <row r="1374">
      <c r="A1374" s="4" t="inlineStr">
        <is>
          <t>SERV-11370</t>
        </is>
      </c>
      <c r="B1374" s="5" t="inlineStr">
        <is>
          <t>Técnico de Enfermagem / Agente de Saúde</t>
        </is>
      </c>
      <c r="C1374" s="4" t="inlineStr">
        <is>
          <t>Efetivo Concursado</t>
        </is>
      </c>
      <c r="D1374" s="4" t="inlineStr">
        <is>
          <t>SEC-SAU</t>
        </is>
      </c>
      <c r="E1374" s="6" t="n">
        <v>3961.45</v>
      </c>
      <c r="F1374" s="6">
        <f>E1374*0.22</f>
        <v/>
      </c>
      <c r="G1374" s="6">
        <f>E1374+F1374</f>
        <v/>
      </c>
      <c r="H1374" s="10" t="n">
        <v>10</v>
      </c>
      <c r="I1374" s="7">
        <f>H1374/(180*0.714)</f>
        <v/>
      </c>
    </row>
    <row r="1375">
      <c r="A1375" s="4" t="inlineStr">
        <is>
          <t>SERV-11371</t>
        </is>
      </c>
      <c r="B1375" s="5" t="inlineStr">
        <is>
          <t>Técnico de Enfermagem / Agente de Saúde</t>
        </is>
      </c>
      <c r="C1375" s="4" t="inlineStr">
        <is>
          <t>Efetivo Concursado</t>
        </is>
      </c>
      <c r="D1375" s="4" t="inlineStr">
        <is>
          <t>SEC-SAU</t>
        </is>
      </c>
      <c r="E1375" s="6" t="n">
        <v>3786.55</v>
      </c>
      <c r="F1375" s="6">
        <f>E1375*0.22</f>
        <v/>
      </c>
      <c r="G1375" s="6">
        <f>E1375+F1375</f>
        <v/>
      </c>
      <c r="H1375" s="10" t="n">
        <v>6</v>
      </c>
      <c r="I1375" s="7">
        <f>H1375/(180*0.714)</f>
        <v/>
      </c>
    </row>
    <row r="1376">
      <c r="A1376" s="4" t="inlineStr">
        <is>
          <t>SERV-11372</t>
        </is>
      </c>
      <c r="B1376" s="5" t="inlineStr">
        <is>
          <t>Técnico de Enfermagem / Agente de Saúde</t>
        </is>
      </c>
      <c r="C1376" s="4" t="inlineStr">
        <is>
          <t>Efetivo Concursado</t>
        </is>
      </c>
      <c r="D1376" s="4" t="inlineStr">
        <is>
          <t>SEC-SAU</t>
        </is>
      </c>
      <c r="E1376" s="6" t="n">
        <v>4207.8</v>
      </c>
      <c r="F1376" s="6">
        <f>E1376*0.22</f>
        <v/>
      </c>
      <c r="G1376" s="6">
        <f>E1376+F1376</f>
        <v/>
      </c>
      <c r="H1376" s="10" t="n">
        <v>3</v>
      </c>
      <c r="I1376" s="7">
        <f>H1376/(180*0.714)</f>
        <v/>
      </c>
    </row>
    <row r="1377">
      <c r="A1377" s="4" t="inlineStr">
        <is>
          <t>SERV-11373</t>
        </is>
      </c>
      <c r="B1377" s="5" t="inlineStr">
        <is>
          <t>Técnico de Enfermagem / Agente de Saúde</t>
        </is>
      </c>
      <c r="C1377" s="4" t="inlineStr">
        <is>
          <t>Efetivo Concursado</t>
        </is>
      </c>
      <c r="D1377" s="4" t="inlineStr">
        <is>
          <t>SEC-SAU</t>
        </is>
      </c>
      <c r="E1377" s="6" t="n">
        <v>3876.6</v>
      </c>
      <c r="F1377" s="6">
        <f>E1377*0.22</f>
        <v/>
      </c>
      <c r="G1377" s="6">
        <f>E1377+F1377</f>
        <v/>
      </c>
      <c r="H1377" s="10" t="n">
        <v>4</v>
      </c>
      <c r="I1377" s="7">
        <f>H1377/(180*0.714)</f>
        <v/>
      </c>
    </row>
    <row r="1378">
      <c r="A1378" s="4" t="inlineStr">
        <is>
          <t>SERV-11374</t>
        </is>
      </c>
      <c r="B1378" s="5" t="inlineStr">
        <is>
          <t>Técnico de Enfermagem / Agente de Saúde</t>
        </is>
      </c>
      <c r="C1378" s="4" t="inlineStr">
        <is>
          <t>Efetivo Concursado</t>
        </is>
      </c>
      <c r="D1378" s="4" t="inlineStr">
        <is>
          <t>SEC-SAU</t>
        </is>
      </c>
      <c r="E1378" s="6" t="n">
        <v>4238.21</v>
      </c>
      <c r="F1378" s="6">
        <f>E1378*0.22</f>
        <v/>
      </c>
      <c r="G1378" s="6">
        <f>E1378+F1378</f>
        <v/>
      </c>
      <c r="H1378" s="10" t="n">
        <v>9</v>
      </c>
      <c r="I1378" s="7">
        <f>H1378/(180*0.714)</f>
        <v/>
      </c>
    </row>
    <row r="1379">
      <c r="A1379" s="4" t="inlineStr">
        <is>
          <t>SERV-11375</t>
        </is>
      </c>
      <c r="B1379" s="5" t="inlineStr">
        <is>
          <t>Técnico de Enfermagem / Agente de Saúde</t>
        </is>
      </c>
      <c r="C1379" s="4" t="inlineStr">
        <is>
          <t>Efetivo Concursado</t>
        </is>
      </c>
      <c r="D1379" s="4" t="inlineStr">
        <is>
          <t>SEC-SAU</t>
        </is>
      </c>
      <c r="E1379" s="6" t="n">
        <v>3709.29</v>
      </c>
      <c r="F1379" s="6">
        <f>E1379*0.22</f>
        <v/>
      </c>
      <c r="G1379" s="6">
        <f>E1379+F1379</f>
        <v/>
      </c>
      <c r="H1379" s="10" t="n">
        <v>10</v>
      </c>
      <c r="I1379" s="7">
        <f>H1379/(180*0.714)</f>
        <v/>
      </c>
    </row>
    <row r="1380">
      <c r="A1380" s="4" t="inlineStr">
        <is>
          <t>SERV-11376</t>
        </is>
      </c>
      <c r="B1380" s="5" t="inlineStr">
        <is>
          <t>Técnico de Enfermagem / Agente de Saúde</t>
        </is>
      </c>
      <c r="C1380" s="4" t="inlineStr">
        <is>
          <t>Efetivo Concursado</t>
        </is>
      </c>
      <c r="D1380" s="4" t="inlineStr">
        <is>
          <t>SEC-SAU</t>
        </is>
      </c>
      <c r="E1380" s="6" t="n">
        <v>4166.84</v>
      </c>
      <c r="F1380" s="6">
        <f>E1380*0.22</f>
        <v/>
      </c>
      <c r="G1380" s="6">
        <f>E1380+F1380</f>
        <v/>
      </c>
      <c r="H1380" s="10" t="n">
        <v>5</v>
      </c>
      <c r="I1380" s="7">
        <f>H1380/(180*0.714)</f>
        <v/>
      </c>
    </row>
    <row r="1381">
      <c r="A1381" s="4" t="inlineStr">
        <is>
          <t>SERV-11377</t>
        </is>
      </c>
      <c r="B1381" s="5" t="inlineStr">
        <is>
          <t>Técnico de Enfermagem / Agente de Saúde</t>
        </is>
      </c>
      <c r="C1381" s="4" t="inlineStr">
        <is>
          <t>Efetivo Concursado</t>
        </is>
      </c>
      <c r="D1381" s="4" t="inlineStr">
        <is>
          <t>SEC-SAU</t>
        </is>
      </c>
      <c r="E1381" s="6" t="n">
        <v>3852.18</v>
      </c>
      <c r="F1381" s="6">
        <f>E1381*0.22</f>
        <v/>
      </c>
      <c r="G1381" s="6">
        <f>E1381+F1381</f>
        <v/>
      </c>
      <c r="H1381" s="10" t="n">
        <v>4</v>
      </c>
      <c r="I1381" s="7">
        <f>H1381/(180*0.714)</f>
        <v/>
      </c>
    </row>
    <row r="1382">
      <c r="A1382" s="4" t="inlineStr">
        <is>
          <t>SERV-11378</t>
        </is>
      </c>
      <c r="B1382" s="5" t="inlineStr">
        <is>
          <t>Técnico de Enfermagem / Agente de Saúde</t>
        </is>
      </c>
      <c r="C1382" s="4" t="inlineStr">
        <is>
          <t>Efetivo Concursado</t>
        </is>
      </c>
      <c r="D1382" s="4" t="inlineStr">
        <is>
          <t>SEC-SAU</t>
        </is>
      </c>
      <c r="E1382" s="6" t="n">
        <v>3805.35</v>
      </c>
      <c r="F1382" s="6">
        <f>E1382*0.22</f>
        <v/>
      </c>
      <c r="G1382" s="6">
        <f>E1382+F1382</f>
        <v/>
      </c>
      <c r="H1382" s="10" t="n">
        <v>7</v>
      </c>
      <c r="I1382" s="7">
        <f>H1382/(180*0.714)</f>
        <v/>
      </c>
    </row>
    <row r="1383">
      <c r="A1383" s="4" t="inlineStr">
        <is>
          <t>SERV-11379</t>
        </is>
      </c>
      <c r="B1383" s="5" t="inlineStr">
        <is>
          <t>Técnico de Enfermagem / Agente de Saúde</t>
        </is>
      </c>
      <c r="C1383" s="4" t="inlineStr">
        <is>
          <t>Efetivo Concursado</t>
        </is>
      </c>
      <c r="D1383" s="4" t="inlineStr">
        <is>
          <t>SEC-SAU</t>
        </is>
      </c>
      <c r="E1383" s="6" t="n">
        <v>4194.51</v>
      </c>
      <c r="F1383" s="6">
        <f>E1383*0.22</f>
        <v/>
      </c>
      <c r="G1383" s="6">
        <f>E1383+F1383</f>
        <v/>
      </c>
      <c r="H1383" s="10" t="n">
        <v>6</v>
      </c>
      <c r="I1383" s="7">
        <f>H1383/(180*0.714)</f>
        <v/>
      </c>
    </row>
    <row r="1384">
      <c r="A1384" s="4" t="inlineStr">
        <is>
          <t>SERV-11380</t>
        </is>
      </c>
      <c r="B1384" s="5" t="inlineStr">
        <is>
          <t>Técnico de Enfermagem / Agente de Saúde</t>
        </is>
      </c>
      <c r="C1384" s="4" t="inlineStr">
        <is>
          <t>Efetivo Concursado</t>
        </is>
      </c>
      <c r="D1384" s="4" t="inlineStr">
        <is>
          <t>SEC-SAU</t>
        </is>
      </c>
      <c r="E1384" s="6" t="n">
        <v>4139.39</v>
      </c>
      <c r="F1384" s="6">
        <f>E1384*0.22</f>
        <v/>
      </c>
      <c r="G1384" s="6">
        <f>E1384+F1384</f>
        <v/>
      </c>
      <c r="H1384" s="10" t="n">
        <v>3</v>
      </c>
      <c r="I1384" s="7">
        <f>H1384/(180*0.714)</f>
        <v/>
      </c>
    </row>
    <row r="1385">
      <c r="A1385" s="4" t="inlineStr">
        <is>
          <t>SERV-11381</t>
        </is>
      </c>
      <c r="B1385" s="5" t="inlineStr">
        <is>
          <t>Técnico de Enfermagem / Agente de Saúde</t>
        </is>
      </c>
      <c r="C1385" s="4" t="inlineStr">
        <is>
          <t>Efetivo Concursado</t>
        </is>
      </c>
      <c r="D1385" s="4" t="inlineStr">
        <is>
          <t>SEC-SAU</t>
        </is>
      </c>
      <c r="E1385" s="6" t="n">
        <v>4019.86</v>
      </c>
      <c r="F1385" s="6">
        <f>E1385*0.22</f>
        <v/>
      </c>
      <c r="G1385" s="6">
        <f>E1385+F1385</f>
        <v/>
      </c>
      <c r="H1385" s="10" t="n">
        <v>13</v>
      </c>
      <c r="I1385" s="7">
        <f>H1385/(180*0.714)</f>
        <v/>
      </c>
    </row>
    <row r="1386">
      <c r="A1386" s="4" t="inlineStr">
        <is>
          <t>SERV-11382</t>
        </is>
      </c>
      <c r="B1386" s="5" t="inlineStr">
        <is>
          <t>Técnico de Enfermagem / Agente de Saúde</t>
        </is>
      </c>
      <c r="C1386" s="4" t="inlineStr">
        <is>
          <t>Efetivo Concursado</t>
        </is>
      </c>
      <c r="D1386" s="4" t="inlineStr">
        <is>
          <t>SEC-SAU</t>
        </is>
      </c>
      <c r="E1386" s="6" t="n">
        <v>3828.81</v>
      </c>
      <c r="F1386" s="6">
        <f>E1386*0.22</f>
        <v/>
      </c>
      <c r="G1386" s="6">
        <f>E1386+F1386</f>
        <v/>
      </c>
      <c r="H1386" s="10" t="n">
        <v>7</v>
      </c>
      <c r="I1386" s="7">
        <f>H1386/(180*0.714)</f>
        <v/>
      </c>
    </row>
    <row r="1387">
      <c r="A1387" s="4" t="inlineStr">
        <is>
          <t>SERV-11383</t>
        </is>
      </c>
      <c r="B1387" s="5" t="inlineStr">
        <is>
          <t>Técnico de Enfermagem / Agente de Saúde</t>
        </is>
      </c>
      <c r="C1387" s="4" t="inlineStr">
        <is>
          <t>Efetivo Concursado</t>
        </is>
      </c>
      <c r="D1387" s="4" t="inlineStr">
        <is>
          <t>SEC-SAU</t>
        </is>
      </c>
      <c r="E1387" s="6" t="n">
        <v>3613.08</v>
      </c>
      <c r="F1387" s="6">
        <f>E1387*0.22</f>
        <v/>
      </c>
      <c r="G1387" s="6">
        <f>E1387+F1387</f>
        <v/>
      </c>
      <c r="H1387" s="10" t="n">
        <v>10</v>
      </c>
      <c r="I1387" s="7">
        <f>H1387/(180*0.714)</f>
        <v/>
      </c>
    </row>
    <row r="1388">
      <c r="A1388" s="4" t="inlineStr">
        <is>
          <t>SERV-11384</t>
        </is>
      </c>
      <c r="B1388" s="5" t="inlineStr">
        <is>
          <t>Técnico de Enfermagem / Agente de Saúde</t>
        </is>
      </c>
      <c r="C1388" s="4" t="inlineStr">
        <is>
          <t>Efetivo Concursado</t>
        </is>
      </c>
      <c r="D1388" s="4" t="inlineStr">
        <is>
          <t>SEC-SAU</t>
        </is>
      </c>
      <c r="E1388" s="6" t="n">
        <v>3910.26</v>
      </c>
      <c r="F1388" s="6">
        <f>E1388*0.22</f>
        <v/>
      </c>
      <c r="G1388" s="6">
        <f>E1388+F1388</f>
        <v/>
      </c>
      <c r="H1388" s="10" t="n">
        <v>9</v>
      </c>
      <c r="I1388" s="7">
        <f>H1388/(180*0.714)</f>
        <v/>
      </c>
    </row>
    <row r="1389">
      <c r="A1389" s="4" t="inlineStr">
        <is>
          <t>SERV-11385</t>
        </is>
      </c>
      <c r="B1389" s="5" t="inlineStr">
        <is>
          <t>Técnico de Enfermagem / Agente de Saúde</t>
        </is>
      </c>
      <c r="C1389" s="4" t="inlineStr">
        <is>
          <t>Efetivo Concursado</t>
        </is>
      </c>
      <c r="D1389" s="4" t="inlineStr">
        <is>
          <t>SEC-SAU</t>
        </is>
      </c>
      <c r="E1389" s="6" t="n">
        <v>3754.94</v>
      </c>
      <c r="F1389" s="6">
        <f>E1389*0.22</f>
        <v/>
      </c>
      <c r="G1389" s="6">
        <f>E1389+F1389</f>
        <v/>
      </c>
      <c r="H1389" s="10" t="n">
        <v>5</v>
      </c>
      <c r="I1389" s="7">
        <f>H1389/(180*0.714)</f>
        <v/>
      </c>
    </row>
    <row r="1390">
      <c r="A1390" s="4" t="inlineStr">
        <is>
          <t>SERV-11386</t>
        </is>
      </c>
      <c r="B1390" s="5" t="inlineStr">
        <is>
          <t>Técnico de Enfermagem / Agente de Saúde</t>
        </is>
      </c>
      <c r="C1390" s="4" t="inlineStr">
        <is>
          <t>Efetivo Concursado</t>
        </is>
      </c>
      <c r="D1390" s="4" t="inlineStr">
        <is>
          <t>SEC-SAU</t>
        </is>
      </c>
      <c r="E1390" s="6" t="n">
        <v>4234.25</v>
      </c>
      <c r="F1390" s="6">
        <f>E1390*0.22</f>
        <v/>
      </c>
      <c r="G1390" s="6">
        <f>E1390+F1390</f>
        <v/>
      </c>
      <c r="H1390" s="10" t="n">
        <v>5</v>
      </c>
      <c r="I1390" s="7">
        <f>H1390/(180*0.714)</f>
        <v/>
      </c>
    </row>
    <row r="1391">
      <c r="A1391" s="4" t="inlineStr">
        <is>
          <t>SERV-11387</t>
        </is>
      </c>
      <c r="B1391" s="5" t="inlineStr">
        <is>
          <t>Técnico de Enfermagem / Agente de Saúde</t>
        </is>
      </c>
      <c r="C1391" s="4" t="inlineStr">
        <is>
          <t>Efetivo Concursado</t>
        </is>
      </c>
      <c r="D1391" s="4" t="inlineStr">
        <is>
          <t>SEC-SAU</t>
        </is>
      </c>
      <c r="E1391" s="6" t="n">
        <v>3871.39</v>
      </c>
      <c r="F1391" s="6">
        <f>E1391*0.22</f>
        <v/>
      </c>
      <c r="G1391" s="6">
        <f>E1391+F1391</f>
        <v/>
      </c>
      <c r="H1391" s="10" t="n">
        <v>9</v>
      </c>
      <c r="I1391" s="7">
        <f>H1391/(180*0.714)</f>
        <v/>
      </c>
    </row>
    <row r="1392">
      <c r="A1392" s="4" t="inlineStr">
        <is>
          <t>SERV-11388</t>
        </is>
      </c>
      <c r="B1392" s="5" t="inlineStr">
        <is>
          <t>Técnico de Enfermagem / Agente de Saúde</t>
        </is>
      </c>
      <c r="C1392" s="4" t="inlineStr">
        <is>
          <t>Efetivo Concursado</t>
        </is>
      </c>
      <c r="D1392" s="4" t="inlineStr">
        <is>
          <t>SEC-SAU</t>
        </is>
      </c>
      <c r="E1392" s="6" t="n">
        <v>3529.79</v>
      </c>
      <c r="F1392" s="6">
        <f>E1392*0.22</f>
        <v/>
      </c>
      <c r="G1392" s="6">
        <f>E1392+F1392</f>
        <v/>
      </c>
      <c r="H1392" s="10" t="n">
        <v>5</v>
      </c>
      <c r="I1392" s="7">
        <f>H1392/(180*0.714)</f>
        <v/>
      </c>
    </row>
    <row r="1393">
      <c r="A1393" s="4" t="inlineStr">
        <is>
          <t>SERV-11389</t>
        </is>
      </c>
      <c r="B1393" s="5" t="inlineStr">
        <is>
          <t>Técnico de Enfermagem / Agente de Saúde</t>
        </is>
      </c>
      <c r="C1393" s="4" t="inlineStr">
        <is>
          <t>Efetivo Concursado</t>
        </is>
      </c>
      <c r="D1393" s="4" t="inlineStr">
        <is>
          <t>SEC-SAU</t>
        </is>
      </c>
      <c r="E1393" s="6" t="n">
        <v>3802.93</v>
      </c>
      <c r="F1393" s="6">
        <f>E1393*0.22</f>
        <v/>
      </c>
      <c r="G1393" s="6">
        <f>E1393+F1393</f>
        <v/>
      </c>
      <c r="H1393" s="10" t="n">
        <v>13</v>
      </c>
      <c r="I1393" s="7">
        <f>H1393/(180*0.714)</f>
        <v/>
      </c>
    </row>
    <row r="1394">
      <c r="A1394" s="4" t="inlineStr">
        <is>
          <t>SERV-11390</t>
        </is>
      </c>
      <c r="B1394" s="5" t="inlineStr">
        <is>
          <t>Técnico de Enfermagem / Agente de Saúde</t>
        </is>
      </c>
      <c r="C1394" s="4" t="inlineStr">
        <is>
          <t>Efetivo Concursado</t>
        </is>
      </c>
      <c r="D1394" s="4" t="inlineStr">
        <is>
          <t>SEC-SAU</t>
        </is>
      </c>
      <c r="E1394" s="6" t="n">
        <v>3950.46</v>
      </c>
      <c r="F1394" s="6">
        <f>E1394*0.22</f>
        <v/>
      </c>
      <c r="G1394" s="6">
        <f>E1394+F1394</f>
        <v/>
      </c>
      <c r="H1394" s="10" t="n">
        <v>3</v>
      </c>
      <c r="I1394" s="7">
        <f>H1394/(180*0.714)</f>
        <v/>
      </c>
    </row>
    <row r="1395">
      <c r="A1395" s="4" t="inlineStr">
        <is>
          <t>SERV-11391</t>
        </is>
      </c>
      <c r="B1395" s="5" t="inlineStr">
        <is>
          <t>Técnico de Enfermagem / Agente de Saúde</t>
        </is>
      </c>
      <c r="C1395" s="4" t="inlineStr">
        <is>
          <t>Efetivo Concursado</t>
        </is>
      </c>
      <c r="D1395" s="4" t="inlineStr">
        <is>
          <t>SEC-SAU</t>
        </is>
      </c>
      <c r="E1395" s="6" t="n">
        <v>3787.44</v>
      </c>
      <c r="F1395" s="6">
        <f>E1395*0.22</f>
        <v/>
      </c>
      <c r="G1395" s="6">
        <f>E1395+F1395</f>
        <v/>
      </c>
      <c r="H1395" s="10" t="n">
        <v>10</v>
      </c>
      <c r="I1395" s="7">
        <f>H1395/(180*0.714)</f>
        <v/>
      </c>
    </row>
    <row r="1396">
      <c r="A1396" s="4" t="inlineStr">
        <is>
          <t>SERV-11392</t>
        </is>
      </c>
      <c r="B1396" s="5" t="inlineStr">
        <is>
          <t>Técnico de Enfermagem / Agente de Saúde</t>
        </is>
      </c>
      <c r="C1396" s="4" t="inlineStr">
        <is>
          <t>Efetivo Concursado</t>
        </is>
      </c>
      <c r="D1396" s="4" t="inlineStr">
        <is>
          <t>SEC-SAU</t>
        </is>
      </c>
      <c r="E1396" s="6" t="n">
        <v>3964.12</v>
      </c>
      <c r="F1396" s="6">
        <f>E1396*0.22</f>
        <v/>
      </c>
      <c r="G1396" s="6">
        <f>E1396+F1396</f>
        <v/>
      </c>
      <c r="H1396" s="10" t="n">
        <v>8</v>
      </c>
      <c r="I1396" s="7">
        <f>H1396/(180*0.714)</f>
        <v/>
      </c>
    </row>
    <row r="1397">
      <c r="A1397" s="4" t="inlineStr">
        <is>
          <t>SERV-11393</t>
        </is>
      </c>
      <c r="B1397" s="5" t="inlineStr">
        <is>
          <t>Técnico de Enfermagem / Agente de Saúde</t>
        </is>
      </c>
      <c r="C1397" s="4" t="inlineStr">
        <is>
          <t>Efetivo Concursado</t>
        </is>
      </c>
      <c r="D1397" s="4" t="inlineStr">
        <is>
          <t>SEC-SAU</t>
        </is>
      </c>
      <c r="E1397" s="6" t="n">
        <v>4153.93</v>
      </c>
      <c r="F1397" s="6">
        <f>E1397*0.22</f>
        <v/>
      </c>
      <c r="G1397" s="6">
        <f>E1397+F1397</f>
        <v/>
      </c>
      <c r="H1397" s="10" t="n">
        <v>7</v>
      </c>
      <c r="I1397" s="7">
        <f>H1397/(180*0.714)</f>
        <v/>
      </c>
    </row>
    <row r="1398">
      <c r="A1398" s="4" t="inlineStr">
        <is>
          <t>SERV-11394</t>
        </is>
      </c>
      <c r="B1398" s="5" t="inlineStr">
        <is>
          <t>Técnico de Enfermagem / Agente de Saúde</t>
        </is>
      </c>
      <c r="C1398" s="4" t="inlineStr">
        <is>
          <t>Efetivo Concursado</t>
        </is>
      </c>
      <c r="D1398" s="4" t="inlineStr">
        <is>
          <t>SEC-SAU</t>
        </is>
      </c>
      <c r="E1398" s="6" t="n">
        <v>3681.1</v>
      </c>
      <c r="F1398" s="6">
        <f>E1398*0.22</f>
        <v/>
      </c>
      <c r="G1398" s="6">
        <f>E1398+F1398</f>
        <v/>
      </c>
      <c r="H1398" s="10" t="n">
        <v>3</v>
      </c>
      <c r="I1398" s="7">
        <f>H1398/(180*0.714)</f>
        <v/>
      </c>
    </row>
    <row r="1399">
      <c r="A1399" s="4" t="inlineStr">
        <is>
          <t>SERV-11395</t>
        </is>
      </c>
      <c r="B1399" s="5" t="inlineStr">
        <is>
          <t>Técnico de Enfermagem / Agente de Saúde</t>
        </is>
      </c>
      <c r="C1399" s="4" t="inlineStr">
        <is>
          <t>Efetivo Concursado</t>
        </is>
      </c>
      <c r="D1399" s="4" t="inlineStr">
        <is>
          <t>SEC-SAU</t>
        </is>
      </c>
      <c r="E1399" s="6" t="n">
        <v>3714.8</v>
      </c>
      <c r="F1399" s="6">
        <f>E1399*0.22</f>
        <v/>
      </c>
      <c r="G1399" s="6">
        <f>E1399+F1399</f>
        <v/>
      </c>
      <c r="H1399" s="10" t="n">
        <v>11</v>
      </c>
      <c r="I1399" s="7">
        <f>H1399/(180*0.714)</f>
        <v/>
      </c>
    </row>
    <row r="1400">
      <c r="A1400" s="4" t="inlineStr">
        <is>
          <t>SERV-11396</t>
        </is>
      </c>
      <c r="B1400" s="5" t="inlineStr">
        <is>
          <t>Técnico de Enfermagem / Agente de Saúde</t>
        </is>
      </c>
      <c r="C1400" s="4" t="inlineStr">
        <is>
          <t>Efetivo Concursado</t>
        </is>
      </c>
      <c r="D1400" s="4" t="inlineStr">
        <is>
          <t>SEC-SAU</t>
        </is>
      </c>
      <c r="E1400" s="6" t="n">
        <v>3534.49</v>
      </c>
      <c r="F1400" s="6">
        <f>E1400*0.22</f>
        <v/>
      </c>
      <c r="G1400" s="6">
        <f>E1400+F1400</f>
        <v/>
      </c>
      <c r="H1400" s="10" t="n">
        <v>10</v>
      </c>
      <c r="I1400" s="7">
        <f>H1400/(180*0.714)</f>
        <v/>
      </c>
    </row>
    <row r="1401">
      <c r="A1401" s="4" t="inlineStr">
        <is>
          <t>SERV-11397</t>
        </is>
      </c>
      <c r="B1401" s="5" t="inlineStr">
        <is>
          <t>Técnico de Enfermagem / Agente de Saúde</t>
        </is>
      </c>
      <c r="C1401" s="4" t="inlineStr">
        <is>
          <t>Efetivo Concursado</t>
        </is>
      </c>
      <c r="D1401" s="4" t="inlineStr">
        <is>
          <t>SEC-SAU</t>
        </is>
      </c>
      <c r="E1401" s="6" t="n">
        <v>3551.01</v>
      </c>
      <c r="F1401" s="6">
        <f>E1401*0.22</f>
        <v/>
      </c>
      <c r="G1401" s="6">
        <f>E1401+F1401</f>
        <v/>
      </c>
      <c r="H1401" s="10" t="n">
        <v>6</v>
      </c>
      <c r="I1401" s="7">
        <f>H1401/(180*0.714)</f>
        <v/>
      </c>
    </row>
    <row r="1402">
      <c r="A1402" s="4" t="inlineStr">
        <is>
          <t>SERV-11398</t>
        </is>
      </c>
      <c r="B1402" s="5" t="inlineStr">
        <is>
          <t>Técnico de Enfermagem / Agente de Saúde</t>
        </is>
      </c>
      <c r="C1402" s="4" t="inlineStr">
        <is>
          <t>Efetivo Concursado</t>
        </is>
      </c>
      <c r="D1402" s="4" t="inlineStr">
        <is>
          <t>SEC-SAU</t>
        </is>
      </c>
      <c r="E1402" s="6" t="n">
        <v>4196.61</v>
      </c>
      <c r="F1402" s="6">
        <f>E1402*0.22</f>
        <v/>
      </c>
      <c r="G1402" s="6">
        <f>E1402+F1402</f>
        <v/>
      </c>
      <c r="H1402" s="10" t="n">
        <v>5</v>
      </c>
      <c r="I1402" s="7">
        <f>H1402/(180*0.714)</f>
        <v/>
      </c>
    </row>
    <row r="1403">
      <c r="A1403" s="4" t="inlineStr">
        <is>
          <t>SERV-11399</t>
        </is>
      </c>
      <c r="B1403" s="5" t="inlineStr">
        <is>
          <t>Técnico de Enfermagem / Agente de Saúde</t>
        </is>
      </c>
      <c r="C1403" s="4" t="inlineStr">
        <is>
          <t>Efetivo Concursado</t>
        </is>
      </c>
      <c r="D1403" s="4" t="inlineStr">
        <is>
          <t>SEC-SAU</t>
        </is>
      </c>
      <c r="E1403" s="6" t="n">
        <v>4209.25</v>
      </c>
      <c r="F1403" s="6">
        <f>E1403*0.22</f>
        <v/>
      </c>
      <c r="G1403" s="6">
        <f>E1403+F1403</f>
        <v/>
      </c>
      <c r="H1403" s="10" t="n">
        <v>13</v>
      </c>
      <c r="I1403" s="7">
        <f>H1403/(180*0.714)</f>
        <v/>
      </c>
    </row>
    <row r="1404">
      <c r="A1404" s="4" t="inlineStr">
        <is>
          <t>SERV-11400</t>
        </is>
      </c>
      <c r="B1404" s="5" t="inlineStr">
        <is>
          <t>Técnico de Enfermagem / Agente de Saúde</t>
        </is>
      </c>
      <c r="C1404" s="4" t="inlineStr">
        <is>
          <t>Efetivo Concursado</t>
        </is>
      </c>
      <c r="D1404" s="4" t="inlineStr">
        <is>
          <t>SEC-SAU</t>
        </is>
      </c>
      <c r="E1404" s="6" t="n">
        <v>4222.76</v>
      </c>
      <c r="F1404" s="6">
        <f>E1404*0.22</f>
        <v/>
      </c>
      <c r="G1404" s="6">
        <f>E1404+F1404</f>
        <v/>
      </c>
      <c r="H1404" s="10" t="n">
        <v>8</v>
      </c>
      <c r="I1404" s="7">
        <f>H1404/(180*0.714)</f>
        <v/>
      </c>
    </row>
    <row r="1405">
      <c r="A1405" s="4" t="inlineStr">
        <is>
          <t>SERV-11401</t>
        </is>
      </c>
      <c r="B1405" s="5" t="inlineStr">
        <is>
          <t>Técnico de Enfermagem / Agente de Saúde</t>
        </is>
      </c>
      <c r="C1405" s="4" t="inlineStr">
        <is>
          <t>Efetivo Concursado</t>
        </is>
      </c>
      <c r="D1405" s="4" t="inlineStr">
        <is>
          <t>SEC-SAU</t>
        </is>
      </c>
      <c r="E1405" s="6" t="n">
        <v>3759.61</v>
      </c>
      <c r="F1405" s="6">
        <f>E1405*0.22</f>
        <v/>
      </c>
      <c r="G1405" s="6">
        <f>E1405+F1405</f>
        <v/>
      </c>
      <c r="H1405" s="10" t="n">
        <v>6</v>
      </c>
      <c r="I1405" s="7">
        <f>H1405/(180*0.714)</f>
        <v/>
      </c>
    </row>
    <row r="1406">
      <c r="A1406" s="4" t="inlineStr">
        <is>
          <t>SERV-11402</t>
        </is>
      </c>
      <c r="B1406" s="5" t="inlineStr">
        <is>
          <t>Técnico de Enfermagem / Agente de Saúde</t>
        </is>
      </c>
      <c r="C1406" s="4" t="inlineStr">
        <is>
          <t>Efetivo Concursado</t>
        </is>
      </c>
      <c r="D1406" s="4" t="inlineStr">
        <is>
          <t>SEC-SAU</t>
        </is>
      </c>
      <c r="E1406" s="6" t="n">
        <v>3564.92</v>
      </c>
      <c r="F1406" s="6">
        <f>E1406*0.22</f>
        <v/>
      </c>
      <c r="G1406" s="6">
        <f>E1406+F1406</f>
        <v/>
      </c>
      <c r="H1406" s="10" t="n">
        <v>6</v>
      </c>
      <c r="I1406" s="7">
        <f>H1406/(180*0.714)</f>
        <v/>
      </c>
    </row>
    <row r="1407">
      <c r="A1407" s="4" t="inlineStr">
        <is>
          <t>SERV-11403</t>
        </is>
      </c>
      <c r="B1407" s="5" t="inlineStr">
        <is>
          <t>Técnico de Enfermagem / Agente de Saúde</t>
        </is>
      </c>
      <c r="C1407" s="4" t="inlineStr">
        <is>
          <t>Efetivo Concursado</t>
        </is>
      </c>
      <c r="D1407" s="4" t="inlineStr">
        <is>
          <t>SEC-SAU</t>
        </is>
      </c>
      <c r="E1407" s="6" t="n">
        <v>4118.41</v>
      </c>
      <c r="F1407" s="6">
        <f>E1407*0.22</f>
        <v/>
      </c>
      <c r="G1407" s="6">
        <f>E1407+F1407</f>
        <v/>
      </c>
      <c r="H1407" s="10" t="n">
        <v>3</v>
      </c>
      <c r="I1407" s="7">
        <f>H1407/(180*0.714)</f>
        <v/>
      </c>
    </row>
    <row r="1408">
      <c r="A1408" s="4" t="inlineStr">
        <is>
          <t>SERV-11404</t>
        </is>
      </c>
      <c r="B1408" s="5" t="inlineStr">
        <is>
          <t>Técnico de Enfermagem / Agente de Saúde</t>
        </is>
      </c>
      <c r="C1408" s="4" t="inlineStr">
        <is>
          <t>Efetivo Concursado</t>
        </is>
      </c>
      <c r="D1408" s="4" t="inlineStr">
        <is>
          <t>SEC-SAU</t>
        </is>
      </c>
      <c r="E1408" s="6" t="n">
        <v>3956.82</v>
      </c>
      <c r="F1408" s="6">
        <f>E1408*0.22</f>
        <v/>
      </c>
      <c r="G1408" s="6">
        <f>E1408+F1408</f>
        <v/>
      </c>
      <c r="H1408" s="10" t="n">
        <v>13</v>
      </c>
      <c r="I1408" s="7">
        <f>H1408/(180*0.714)</f>
        <v/>
      </c>
    </row>
    <row r="1409">
      <c r="A1409" s="4" t="inlineStr">
        <is>
          <t>SERV-11405</t>
        </is>
      </c>
      <c r="B1409" s="5" t="inlineStr">
        <is>
          <t>Técnico de Enfermagem / Agente de Saúde</t>
        </is>
      </c>
      <c r="C1409" s="4" t="inlineStr">
        <is>
          <t>Efetivo Concursado</t>
        </is>
      </c>
      <c r="D1409" s="4" t="inlineStr">
        <is>
          <t>SEC-SAU</t>
        </is>
      </c>
      <c r="E1409" s="6" t="n">
        <v>3540.84</v>
      </c>
      <c r="F1409" s="6">
        <f>E1409*0.22</f>
        <v/>
      </c>
      <c r="G1409" s="6">
        <f>E1409+F1409</f>
        <v/>
      </c>
      <c r="H1409" s="10" t="n">
        <v>11</v>
      </c>
      <c r="I1409" s="7">
        <f>H1409/(180*0.714)</f>
        <v/>
      </c>
    </row>
    <row r="1410">
      <c r="A1410" s="4" t="inlineStr">
        <is>
          <t>SERV-11406</t>
        </is>
      </c>
      <c r="B1410" s="5" t="inlineStr">
        <is>
          <t>Técnico de Enfermagem / Agente de Saúde</t>
        </is>
      </c>
      <c r="C1410" s="4" t="inlineStr">
        <is>
          <t>Efetivo Concursado</t>
        </is>
      </c>
      <c r="D1410" s="4" t="inlineStr">
        <is>
          <t>SEC-SAU</t>
        </is>
      </c>
      <c r="E1410" s="6" t="n">
        <v>4158.85</v>
      </c>
      <c r="F1410" s="6">
        <f>E1410*0.22</f>
        <v/>
      </c>
      <c r="G1410" s="6">
        <f>E1410+F1410</f>
        <v/>
      </c>
      <c r="H1410" s="10" t="n">
        <v>13</v>
      </c>
      <c r="I1410" s="7">
        <f>H1410/(180*0.714)</f>
        <v/>
      </c>
    </row>
    <row r="1411">
      <c r="A1411" s="4" t="inlineStr">
        <is>
          <t>SERV-11407</t>
        </is>
      </c>
      <c r="B1411" s="5" t="inlineStr">
        <is>
          <t>Técnico de Enfermagem / Agente de Saúde</t>
        </is>
      </c>
      <c r="C1411" s="4" t="inlineStr">
        <is>
          <t>Efetivo Concursado</t>
        </is>
      </c>
      <c r="D1411" s="4" t="inlineStr">
        <is>
          <t>SEC-SAU</t>
        </is>
      </c>
      <c r="E1411" s="6" t="n">
        <v>4163.8</v>
      </c>
      <c r="F1411" s="6">
        <f>E1411*0.22</f>
        <v/>
      </c>
      <c r="G1411" s="6">
        <f>E1411+F1411</f>
        <v/>
      </c>
      <c r="H1411" s="10" t="n">
        <v>7</v>
      </c>
      <c r="I1411" s="7">
        <f>H1411/(180*0.714)</f>
        <v/>
      </c>
    </row>
    <row r="1412">
      <c r="A1412" s="4" t="inlineStr">
        <is>
          <t>SERV-11408</t>
        </is>
      </c>
      <c r="B1412" s="5" t="inlineStr">
        <is>
          <t>Técnico de Enfermagem / Agente de Saúde</t>
        </is>
      </c>
      <c r="C1412" s="4" t="inlineStr">
        <is>
          <t>Efetivo Concursado</t>
        </is>
      </c>
      <c r="D1412" s="4" t="inlineStr">
        <is>
          <t>SEC-SAU</t>
        </is>
      </c>
      <c r="E1412" s="6" t="n">
        <v>3952.8</v>
      </c>
      <c r="F1412" s="6">
        <f>E1412*0.22</f>
        <v/>
      </c>
      <c r="G1412" s="6">
        <f>E1412+F1412</f>
        <v/>
      </c>
      <c r="H1412" s="10" t="n">
        <v>4</v>
      </c>
      <c r="I1412" s="7">
        <f>H1412/(180*0.714)</f>
        <v/>
      </c>
    </row>
    <row r="1413">
      <c r="A1413" s="4" t="inlineStr">
        <is>
          <t>SERV-11409</t>
        </is>
      </c>
      <c r="B1413" s="5" t="inlineStr">
        <is>
          <t>Técnico de Enfermagem / Agente de Saúde</t>
        </is>
      </c>
      <c r="C1413" s="4" t="inlineStr">
        <is>
          <t>Efetivo Concursado</t>
        </is>
      </c>
      <c r="D1413" s="4" t="inlineStr">
        <is>
          <t>SEC-SAU</t>
        </is>
      </c>
      <c r="E1413" s="6" t="n">
        <v>3733.2</v>
      </c>
      <c r="F1413" s="6">
        <f>E1413*0.22</f>
        <v/>
      </c>
      <c r="G1413" s="6">
        <f>E1413+F1413</f>
        <v/>
      </c>
      <c r="H1413" s="10" t="n">
        <v>8</v>
      </c>
      <c r="I1413" s="7">
        <f>H1413/(180*0.714)</f>
        <v/>
      </c>
    </row>
    <row r="1414">
      <c r="A1414" s="4" t="inlineStr">
        <is>
          <t>SERV-11410</t>
        </is>
      </c>
      <c r="B1414" s="5" t="inlineStr">
        <is>
          <t>Técnico de Enfermagem / Agente de Saúde</t>
        </is>
      </c>
      <c r="C1414" s="4" t="inlineStr">
        <is>
          <t>Efetivo Concursado</t>
        </is>
      </c>
      <c r="D1414" s="4" t="inlineStr">
        <is>
          <t>SEC-SAU</t>
        </is>
      </c>
      <c r="E1414" s="6" t="n">
        <v>3705.51</v>
      </c>
      <c r="F1414" s="6">
        <f>E1414*0.22</f>
        <v/>
      </c>
      <c r="G1414" s="6">
        <f>E1414+F1414</f>
        <v/>
      </c>
      <c r="H1414" s="10" t="n">
        <v>8</v>
      </c>
      <c r="I1414" s="7">
        <f>H1414/(180*0.714)</f>
        <v/>
      </c>
    </row>
    <row r="1415">
      <c r="A1415" s="4" t="inlineStr">
        <is>
          <t>SERV-11411</t>
        </is>
      </c>
      <c r="B1415" s="5" t="inlineStr">
        <is>
          <t>Técnico de Enfermagem / Agente de Saúde</t>
        </is>
      </c>
      <c r="C1415" s="4" t="inlineStr">
        <is>
          <t>Efetivo Concursado</t>
        </is>
      </c>
      <c r="D1415" s="4" t="inlineStr">
        <is>
          <t>SEC-SAU</t>
        </is>
      </c>
      <c r="E1415" s="6" t="n">
        <v>4092.4</v>
      </c>
      <c r="F1415" s="6">
        <f>E1415*0.22</f>
        <v/>
      </c>
      <c r="G1415" s="6">
        <f>E1415+F1415</f>
        <v/>
      </c>
      <c r="H1415" s="10" t="n">
        <v>13</v>
      </c>
      <c r="I1415" s="7">
        <f>H1415/(180*0.714)</f>
        <v/>
      </c>
    </row>
    <row r="1416">
      <c r="A1416" s="4" t="inlineStr">
        <is>
          <t>SERV-11412</t>
        </is>
      </c>
      <c r="B1416" s="5" t="inlineStr">
        <is>
          <t>Técnico de Enfermagem / Agente de Saúde</t>
        </is>
      </c>
      <c r="C1416" s="4" t="inlineStr">
        <is>
          <t>Efetivo Concursado</t>
        </is>
      </c>
      <c r="D1416" s="4" t="inlineStr">
        <is>
          <t>SEC-SAU</t>
        </is>
      </c>
      <c r="E1416" s="6" t="n">
        <v>3631.08</v>
      </c>
      <c r="F1416" s="6">
        <f>E1416*0.22</f>
        <v/>
      </c>
      <c r="G1416" s="6">
        <f>E1416+F1416</f>
        <v/>
      </c>
      <c r="H1416" s="10" t="n">
        <v>8</v>
      </c>
      <c r="I1416" s="7">
        <f>H1416/(180*0.714)</f>
        <v/>
      </c>
    </row>
    <row r="1417">
      <c r="A1417" s="4" t="inlineStr">
        <is>
          <t>SERV-11413</t>
        </is>
      </c>
      <c r="B1417" s="5" t="inlineStr">
        <is>
          <t>Técnico de Enfermagem / Agente de Saúde</t>
        </is>
      </c>
      <c r="C1417" s="4" t="inlineStr">
        <is>
          <t>Efetivo Concursado</t>
        </is>
      </c>
      <c r="D1417" s="4" t="inlineStr">
        <is>
          <t>SEC-SAU</t>
        </is>
      </c>
      <c r="E1417" s="6" t="n">
        <v>3651.33</v>
      </c>
      <c r="F1417" s="6">
        <f>E1417*0.22</f>
        <v/>
      </c>
      <c r="G1417" s="6">
        <f>E1417+F1417</f>
        <v/>
      </c>
      <c r="H1417" s="10" t="n">
        <v>10</v>
      </c>
      <c r="I1417" s="7">
        <f>H1417/(180*0.714)</f>
        <v/>
      </c>
    </row>
    <row r="1418">
      <c r="A1418" s="4" t="inlineStr">
        <is>
          <t>SERV-11414</t>
        </is>
      </c>
      <c r="B1418" s="5" t="inlineStr">
        <is>
          <t>Técnico de Enfermagem / Agente de Saúde</t>
        </is>
      </c>
      <c r="C1418" s="4" t="inlineStr">
        <is>
          <t>Efetivo Concursado</t>
        </is>
      </c>
      <c r="D1418" s="4" t="inlineStr">
        <is>
          <t>SEC-SAU</t>
        </is>
      </c>
      <c r="E1418" s="6" t="n">
        <v>4149.66</v>
      </c>
      <c r="F1418" s="6">
        <f>E1418*0.22</f>
        <v/>
      </c>
      <c r="G1418" s="6">
        <f>E1418+F1418</f>
        <v/>
      </c>
      <c r="H1418" s="10" t="n">
        <v>12</v>
      </c>
      <c r="I1418" s="7">
        <f>H1418/(180*0.714)</f>
        <v/>
      </c>
    </row>
    <row r="1419">
      <c r="A1419" s="4" t="inlineStr">
        <is>
          <t>SERV-11415</t>
        </is>
      </c>
      <c r="B1419" s="5" t="inlineStr">
        <is>
          <t>Técnico de Enfermagem / Agente de Saúde</t>
        </is>
      </c>
      <c r="C1419" s="4" t="inlineStr">
        <is>
          <t>Efetivo Concursado</t>
        </is>
      </c>
      <c r="D1419" s="4" t="inlineStr">
        <is>
          <t>SEC-SAU</t>
        </is>
      </c>
      <c r="E1419" s="6" t="n">
        <v>4162.97</v>
      </c>
      <c r="F1419" s="6">
        <f>E1419*0.22</f>
        <v/>
      </c>
      <c r="G1419" s="6">
        <f>E1419+F1419</f>
        <v/>
      </c>
      <c r="H1419" s="10" t="n">
        <v>4</v>
      </c>
      <c r="I1419" s="7">
        <f>H1419/(180*0.714)</f>
        <v/>
      </c>
    </row>
    <row r="1420">
      <c r="A1420" s="4" t="inlineStr">
        <is>
          <t>SERV-11416</t>
        </is>
      </c>
      <c r="B1420" s="5" t="inlineStr">
        <is>
          <t>Técnico de Enfermagem / Agente de Saúde</t>
        </is>
      </c>
      <c r="C1420" s="4" t="inlineStr">
        <is>
          <t>Efetivo Concursado</t>
        </is>
      </c>
      <c r="D1420" s="4" t="inlineStr">
        <is>
          <t>SEC-SAU</t>
        </is>
      </c>
      <c r="E1420" s="6" t="n">
        <v>3914.59</v>
      </c>
      <c r="F1420" s="6">
        <f>E1420*0.22</f>
        <v/>
      </c>
      <c r="G1420" s="6">
        <f>E1420+F1420</f>
        <v/>
      </c>
      <c r="H1420" s="10" t="n">
        <v>5</v>
      </c>
      <c r="I1420" s="7">
        <f>H1420/(180*0.714)</f>
        <v/>
      </c>
    </row>
    <row r="1421">
      <c r="A1421" s="4" t="inlineStr">
        <is>
          <t>SERV-11417</t>
        </is>
      </c>
      <c r="B1421" s="5" t="inlineStr">
        <is>
          <t>Técnico de Enfermagem / Agente de Saúde</t>
        </is>
      </c>
      <c r="C1421" s="4" t="inlineStr">
        <is>
          <t>Efetivo Concursado</t>
        </is>
      </c>
      <c r="D1421" s="4" t="inlineStr">
        <is>
          <t>SEC-SAU</t>
        </is>
      </c>
      <c r="E1421" s="6" t="n">
        <v>3977.39</v>
      </c>
      <c r="F1421" s="6">
        <f>E1421*0.22</f>
        <v/>
      </c>
      <c r="G1421" s="6">
        <f>E1421+F1421</f>
        <v/>
      </c>
      <c r="H1421" s="10" t="n">
        <v>4</v>
      </c>
      <c r="I1421" s="7">
        <f>H1421/(180*0.714)</f>
        <v/>
      </c>
    </row>
    <row r="1422">
      <c r="A1422" s="4" t="inlineStr">
        <is>
          <t>SERV-11418</t>
        </is>
      </c>
      <c r="B1422" s="5" t="inlineStr">
        <is>
          <t>Técnico de Enfermagem / Agente de Saúde</t>
        </is>
      </c>
      <c r="C1422" s="4" t="inlineStr">
        <is>
          <t>Efetivo Concursado</t>
        </is>
      </c>
      <c r="D1422" s="4" t="inlineStr">
        <is>
          <t>SEC-SAU</t>
        </is>
      </c>
      <c r="E1422" s="6" t="n">
        <v>3712.7</v>
      </c>
      <c r="F1422" s="6">
        <f>E1422*0.22</f>
        <v/>
      </c>
      <c r="G1422" s="6">
        <f>E1422+F1422</f>
        <v/>
      </c>
      <c r="H1422" s="10" t="n">
        <v>13</v>
      </c>
      <c r="I1422" s="7">
        <f>H1422/(180*0.714)</f>
        <v/>
      </c>
    </row>
    <row r="1423">
      <c r="A1423" s="4" t="inlineStr">
        <is>
          <t>SERV-11419</t>
        </is>
      </c>
      <c r="B1423" s="5" t="inlineStr">
        <is>
          <t>Técnico de Enfermagem / Agente de Saúde</t>
        </is>
      </c>
      <c r="C1423" s="4" t="inlineStr">
        <is>
          <t>Efetivo Concursado</t>
        </is>
      </c>
      <c r="D1423" s="4" t="inlineStr">
        <is>
          <t>SEC-SAU</t>
        </is>
      </c>
      <c r="E1423" s="6" t="n">
        <v>4099.67</v>
      </c>
      <c r="F1423" s="6">
        <f>E1423*0.22</f>
        <v/>
      </c>
      <c r="G1423" s="6">
        <f>E1423+F1423</f>
        <v/>
      </c>
      <c r="H1423" s="10" t="n">
        <v>7</v>
      </c>
      <c r="I1423" s="7">
        <f>H1423/(180*0.714)</f>
        <v/>
      </c>
    </row>
    <row r="1424">
      <c r="A1424" s="4" t="inlineStr">
        <is>
          <t>SERV-11420</t>
        </is>
      </c>
      <c r="B1424" s="5" t="inlineStr">
        <is>
          <t>Técnico de Enfermagem / Agente de Saúde</t>
        </is>
      </c>
      <c r="C1424" s="4" t="inlineStr">
        <is>
          <t>Efetivo Concursado</t>
        </is>
      </c>
      <c r="D1424" s="4" t="inlineStr">
        <is>
          <t>SEC-SAU</t>
        </is>
      </c>
      <c r="E1424" s="6" t="n">
        <v>4093.75</v>
      </c>
      <c r="F1424" s="6">
        <f>E1424*0.22</f>
        <v/>
      </c>
      <c r="G1424" s="6">
        <f>E1424+F1424</f>
        <v/>
      </c>
      <c r="H1424" s="10" t="n">
        <v>8</v>
      </c>
      <c r="I1424" s="7">
        <f>H1424/(180*0.714)</f>
        <v/>
      </c>
    </row>
    <row r="1425">
      <c r="A1425" s="4" t="inlineStr">
        <is>
          <t>SERV-11421</t>
        </is>
      </c>
      <c r="B1425" s="5" t="inlineStr">
        <is>
          <t>Técnico de Enfermagem / Agente de Saúde</t>
        </is>
      </c>
      <c r="C1425" s="4" t="inlineStr">
        <is>
          <t>Efetivo Concursado</t>
        </is>
      </c>
      <c r="D1425" s="4" t="inlineStr">
        <is>
          <t>SEC-SAU</t>
        </is>
      </c>
      <c r="E1425" s="6" t="n">
        <v>3723</v>
      </c>
      <c r="F1425" s="6">
        <f>E1425*0.22</f>
        <v/>
      </c>
      <c r="G1425" s="6">
        <f>E1425+F1425</f>
        <v/>
      </c>
      <c r="H1425" s="10" t="n">
        <v>4</v>
      </c>
      <c r="I1425" s="7">
        <f>H1425/(180*0.714)</f>
        <v/>
      </c>
    </row>
    <row r="1426">
      <c r="A1426" s="4" t="inlineStr">
        <is>
          <t>SERV-11422</t>
        </is>
      </c>
      <c r="B1426" s="5" t="inlineStr">
        <is>
          <t>Técnico de Enfermagem / Agente de Saúde</t>
        </is>
      </c>
      <c r="C1426" s="4" t="inlineStr">
        <is>
          <t>Efetivo Concursado</t>
        </is>
      </c>
      <c r="D1426" s="4" t="inlineStr">
        <is>
          <t>SEC-SAU</t>
        </is>
      </c>
      <c r="E1426" s="6" t="n">
        <v>3653.75</v>
      </c>
      <c r="F1426" s="6">
        <f>E1426*0.22</f>
        <v/>
      </c>
      <c r="G1426" s="6">
        <f>E1426+F1426</f>
        <v/>
      </c>
      <c r="H1426" s="10" t="n">
        <v>9</v>
      </c>
      <c r="I1426" s="7">
        <f>H1426/(180*0.714)</f>
        <v/>
      </c>
    </row>
    <row r="1427">
      <c r="A1427" s="4" t="inlineStr">
        <is>
          <t>SERV-11423</t>
        </is>
      </c>
      <c r="B1427" s="5" t="inlineStr">
        <is>
          <t>Técnico de Enfermagem / Agente de Saúde</t>
        </is>
      </c>
      <c r="C1427" s="4" t="inlineStr">
        <is>
          <t>Efetivo Concursado</t>
        </is>
      </c>
      <c r="D1427" s="4" t="inlineStr">
        <is>
          <t>SEC-SAU</t>
        </is>
      </c>
      <c r="E1427" s="6" t="n">
        <v>3643.01</v>
      </c>
      <c r="F1427" s="6">
        <f>E1427*0.22</f>
        <v/>
      </c>
      <c r="G1427" s="6">
        <f>E1427+F1427</f>
        <v/>
      </c>
      <c r="H1427" s="10" t="n">
        <v>7</v>
      </c>
      <c r="I1427" s="7">
        <f>H1427/(180*0.714)</f>
        <v/>
      </c>
    </row>
    <row r="1428">
      <c r="A1428" s="4" t="inlineStr">
        <is>
          <t>SERV-11424</t>
        </is>
      </c>
      <c r="B1428" s="5" t="inlineStr">
        <is>
          <t>Técnico de Enfermagem / Agente de Saúde</t>
        </is>
      </c>
      <c r="C1428" s="4" t="inlineStr">
        <is>
          <t>Efetivo Concursado</t>
        </is>
      </c>
      <c r="D1428" s="4" t="inlineStr">
        <is>
          <t>SEC-SAU</t>
        </is>
      </c>
      <c r="E1428" s="6" t="n">
        <v>3828.87</v>
      </c>
      <c r="F1428" s="6">
        <f>E1428*0.22</f>
        <v/>
      </c>
      <c r="G1428" s="6">
        <f>E1428+F1428</f>
        <v/>
      </c>
      <c r="H1428" s="10" t="n">
        <v>10</v>
      </c>
      <c r="I1428" s="7">
        <f>H1428/(180*0.714)</f>
        <v/>
      </c>
    </row>
    <row r="1429">
      <c r="A1429" s="4" t="inlineStr">
        <is>
          <t>SERV-11425</t>
        </is>
      </c>
      <c r="B1429" s="5" t="inlineStr">
        <is>
          <t>Técnico de Enfermagem / Agente de Saúde</t>
        </is>
      </c>
      <c r="C1429" s="4" t="inlineStr">
        <is>
          <t>Efetivo Concursado</t>
        </is>
      </c>
      <c r="D1429" s="4" t="inlineStr">
        <is>
          <t>SEC-SAU</t>
        </is>
      </c>
      <c r="E1429" s="6" t="n">
        <v>4128.08</v>
      </c>
      <c r="F1429" s="6">
        <f>E1429*0.22</f>
        <v/>
      </c>
      <c r="G1429" s="6">
        <f>E1429+F1429</f>
        <v/>
      </c>
      <c r="H1429" s="10" t="n">
        <v>6</v>
      </c>
      <c r="I1429" s="7">
        <f>H1429/(180*0.714)</f>
        <v/>
      </c>
    </row>
    <row r="1430">
      <c r="A1430" s="4" t="inlineStr">
        <is>
          <t>SERV-11426</t>
        </is>
      </c>
      <c r="B1430" s="5" t="inlineStr">
        <is>
          <t>Técnico de Enfermagem / Agente de Saúde</t>
        </is>
      </c>
      <c r="C1430" s="4" t="inlineStr">
        <is>
          <t>Efetivo Concursado</t>
        </is>
      </c>
      <c r="D1430" s="4" t="inlineStr">
        <is>
          <t>SEC-SAU</t>
        </is>
      </c>
      <c r="E1430" s="6" t="n">
        <v>3760.93</v>
      </c>
      <c r="F1430" s="6">
        <f>E1430*0.22</f>
        <v/>
      </c>
      <c r="G1430" s="6">
        <f>E1430+F1430</f>
        <v/>
      </c>
      <c r="H1430" s="10" t="n">
        <v>13</v>
      </c>
      <c r="I1430" s="7">
        <f>H1430/(180*0.714)</f>
        <v/>
      </c>
    </row>
    <row r="1431">
      <c r="A1431" s="4" t="inlineStr">
        <is>
          <t>SERV-11427</t>
        </is>
      </c>
      <c r="B1431" s="5" t="inlineStr">
        <is>
          <t>Técnico de Enfermagem / Agente de Saúde</t>
        </is>
      </c>
      <c r="C1431" s="4" t="inlineStr">
        <is>
          <t>Efetivo Concursado</t>
        </is>
      </c>
      <c r="D1431" s="4" t="inlineStr">
        <is>
          <t>SEC-SAU</t>
        </is>
      </c>
      <c r="E1431" s="6" t="n">
        <v>3833.2</v>
      </c>
      <c r="F1431" s="6">
        <f>E1431*0.22</f>
        <v/>
      </c>
      <c r="G1431" s="6">
        <f>E1431+F1431</f>
        <v/>
      </c>
      <c r="H1431" s="10" t="n">
        <v>6</v>
      </c>
      <c r="I1431" s="7">
        <f>H1431/(180*0.714)</f>
        <v/>
      </c>
    </row>
    <row r="1432">
      <c r="A1432" s="4" t="inlineStr">
        <is>
          <t>SERV-11428</t>
        </is>
      </c>
      <c r="B1432" s="5" t="inlineStr">
        <is>
          <t>Técnico de Enfermagem / Agente de Saúde</t>
        </is>
      </c>
      <c r="C1432" s="4" t="inlineStr">
        <is>
          <t>Efetivo Concursado</t>
        </is>
      </c>
      <c r="D1432" s="4" t="inlineStr">
        <is>
          <t>SEC-SAU</t>
        </is>
      </c>
      <c r="E1432" s="6" t="n">
        <v>3506.76</v>
      </c>
      <c r="F1432" s="6">
        <f>E1432*0.22</f>
        <v/>
      </c>
      <c r="G1432" s="6">
        <f>E1432+F1432</f>
        <v/>
      </c>
      <c r="H1432" s="10" t="n">
        <v>9</v>
      </c>
      <c r="I1432" s="7">
        <f>H1432/(180*0.714)</f>
        <v/>
      </c>
    </row>
    <row r="1433">
      <c r="A1433" s="4" t="inlineStr">
        <is>
          <t>SERV-11429</t>
        </is>
      </c>
      <c r="B1433" s="5" t="inlineStr">
        <is>
          <t>Técnico de Enfermagem / Agente de Saúde</t>
        </is>
      </c>
      <c r="C1433" s="4" t="inlineStr">
        <is>
          <t>Efetivo Concursado</t>
        </is>
      </c>
      <c r="D1433" s="4" t="inlineStr">
        <is>
          <t>SEC-SAU</t>
        </is>
      </c>
      <c r="E1433" s="6" t="n">
        <v>3545.14</v>
      </c>
      <c r="F1433" s="6">
        <f>E1433*0.22</f>
        <v/>
      </c>
      <c r="G1433" s="6">
        <f>E1433+F1433</f>
        <v/>
      </c>
      <c r="H1433" s="10" t="n">
        <v>6</v>
      </c>
      <c r="I1433" s="7">
        <f>H1433/(180*0.714)</f>
        <v/>
      </c>
    </row>
    <row r="1434">
      <c r="A1434" s="4" t="inlineStr">
        <is>
          <t>SERV-11430</t>
        </is>
      </c>
      <c r="B1434" s="5" t="inlineStr">
        <is>
          <t>Técnico de Enfermagem / Agente de Saúde</t>
        </is>
      </c>
      <c r="C1434" s="4" t="inlineStr">
        <is>
          <t>Efetivo Concursado</t>
        </is>
      </c>
      <c r="D1434" s="4" t="inlineStr">
        <is>
          <t>SEC-SAU</t>
        </is>
      </c>
      <c r="E1434" s="6" t="n">
        <v>3606.96</v>
      </c>
      <c r="F1434" s="6">
        <f>E1434*0.22</f>
        <v/>
      </c>
      <c r="G1434" s="6">
        <f>E1434+F1434</f>
        <v/>
      </c>
      <c r="H1434" s="10" t="n">
        <v>8</v>
      </c>
      <c r="I1434" s="7">
        <f>H1434/(180*0.714)</f>
        <v/>
      </c>
    </row>
    <row r="1435">
      <c r="A1435" s="4" t="inlineStr">
        <is>
          <t>SERV-11431</t>
        </is>
      </c>
      <c r="B1435" s="5" t="inlineStr">
        <is>
          <t>Técnico de Enfermagem / Agente de Saúde</t>
        </is>
      </c>
      <c r="C1435" s="4" t="inlineStr">
        <is>
          <t>Efetivo Concursado</t>
        </is>
      </c>
      <c r="D1435" s="4" t="inlineStr">
        <is>
          <t>SEC-SAU</t>
        </is>
      </c>
      <c r="E1435" s="6" t="n">
        <v>3882.9</v>
      </c>
      <c r="F1435" s="6">
        <f>E1435*0.22</f>
        <v/>
      </c>
      <c r="G1435" s="6">
        <f>E1435+F1435</f>
        <v/>
      </c>
      <c r="H1435" s="10" t="n">
        <v>8</v>
      </c>
      <c r="I1435" s="7">
        <f>H1435/(180*0.714)</f>
        <v/>
      </c>
    </row>
    <row r="1436">
      <c r="A1436" s="4" t="inlineStr">
        <is>
          <t>SERV-11432</t>
        </is>
      </c>
      <c r="B1436" s="5" t="inlineStr">
        <is>
          <t>Técnico de Enfermagem / Agente de Saúde</t>
        </is>
      </c>
      <c r="C1436" s="4" t="inlineStr">
        <is>
          <t>Efetivo Concursado</t>
        </is>
      </c>
      <c r="D1436" s="4" t="inlineStr">
        <is>
          <t>SEC-SAU</t>
        </is>
      </c>
      <c r="E1436" s="6" t="n">
        <v>4000.66</v>
      </c>
      <c r="F1436" s="6">
        <f>E1436*0.22</f>
        <v/>
      </c>
      <c r="G1436" s="6">
        <f>E1436+F1436</f>
        <v/>
      </c>
      <c r="H1436" s="10" t="n">
        <v>6</v>
      </c>
      <c r="I1436" s="7">
        <f>H1436/(180*0.714)</f>
        <v/>
      </c>
    </row>
    <row r="1437">
      <c r="A1437" s="4" t="inlineStr">
        <is>
          <t>SERV-11433</t>
        </is>
      </c>
      <c r="B1437" s="5" t="inlineStr">
        <is>
          <t>Técnico de Enfermagem / Agente de Saúde</t>
        </is>
      </c>
      <c r="C1437" s="4" t="inlineStr">
        <is>
          <t>Efetivo Concursado</t>
        </is>
      </c>
      <c r="D1437" s="4" t="inlineStr">
        <is>
          <t>SEC-SAU</t>
        </is>
      </c>
      <c r="E1437" s="6" t="n">
        <v>3877.94</v>
      </c>
      <c r="F1437" s="6">
        <f>E1437*0.22</f>
        <v/>
      </c>
      <c r="G1437" s="6">
        <f>E1437+F1437</f>
        <v/>
      </c>
      <c r="H1437" s="10" t="n">
        <v>5</v>
      </c>
      <c r="I1437" s="7">
        <f>H1437/(180*0.714)</f>
        <v/>
      </c>
    </row>
    <row r="1438">
      <c r="A1438" s="4" t="inlineStr">
        <is>
          <t>SERV-11434</t>
        </is>
      </c>
      <c r="B1438" s="5" t="inlineStr">
        <is>
          <t>Técnico de Enfermagem / Agente de Saúde</t>
        </is>
      </c>
      <c r="C1438" s="4" t="inlineStr">
        <is>
          <t>Efetivo Concursado</t>
        </is>
      </c>
      <c r="D1438" s="4" t="inlineStr">
        <is>
          <t>SEC-SAU</t>
        </is>
      </c>
      <c r="E1438" s="6" t="n">
        <v>3694.82</v>
      </c>
      <c r="F1438" s="6">
        <f>E1438*0.22</f>
        <v/>
      </c>
      <c r="G1438" s="6">
        <f>E1438+F1438</f>
        <v/>
      </c>
      <c r="H1438" s="10" t="n">
        <v>12</v>
      </c>
      <c r="I1438" s="7">
        <f>H1438/(180*0.714)</f>
        <v/>
      </c>
    </row>
    <row r="1439">
      <c r="A1439" s="4" t="inlineStr">
        <is>
          <t>SERV-11435</t>
        </is>
      </c>
      <c r="B1439" s="5" t="inlineStr">
        <is>
          <t>Técnico de Enfermagem / Agente de Saúde</t>
        </is>
      </c>
      <c r="C1439" s="4" t="inlineStr">
        <is>
          <t>Efetivo Concursado</t>
        </is>
      </c>
      <c r="D1439" s="4" t="inlineStr">
        <is>
          <t>SEC-SAU</t>
        </is>
      </c>
      <c r="E1439" s="6" t="n">
        <v>4088.37</v>
      </c>
      <c r="F1439" s="6">
        <f>E1439*0.22</f>
        <v/>
      </c>
      <c r="G1439" s="6">
        <f>E1439+F1439</f>
        <v/>
      </c>
      <c r="H1439" s="10" t="n">
        <v>8</v>
      </c>
      <c r="I1439" s="7">
        <f>H1439/(180*0.714)</f>
        <v/>
      </c>
    </row>
    <row r="1440">
      <c r="A1440" s="4" t="inlineStr">
        <is>
          <t>SERV-11436</t>
        </is>
      </c>
      <c r="B1440" s="5" t="inlineStr">
        <is>
          <t>Técnico de Enfermagem / Agente de Saúde</t>
        </is>
      </c>
      <c r="C1440" s="4" t="inlineStr">
        <is>
          <t>Efetivo Concursado</t>
        </is>
      </c>
      <c r="D1440" s="4" t="inlineStr">
        <is>
          <t>SEC-SAU</t>
        </is>
      </c>
      <c r="E1440" s="6" t="n">
        <v>3604.21</v>
      </c>
      <c r="F1440" s="6">
        <f>E1440*0.22</f>
        <v/>
      </c>
      <c r="G1440" s="6">
        <f>E1440+F1440</f>
        <v/>
      </c>
      <c r="H1440" s="10" t="n">
        <v>11</v>
      </c>
      <c r="I1440" s="7">
        <f>H1440/(180*0.714)</f>
        <v/>
      </c>
    </row>
    <row r="1441">
      <c r="A1441" s="4" t="inlineStr">
        <is>
          <t>SERV-11437</t>
        </is>
      </c>
      <c r="B1441" s="5" t="inlineStr">
        <is>
          <t>Técnico de Enfermagem / Agente de Saúde</t>
        </is>
      </c>
      <c r="C1441" s="4" t="inlineStr">
        <is>
          <t>Efetivo Concursado</t>
        </is>
      </c>
      <c r="D1441" s="4" t="inlineStr">
        <is>
          <t>SEC-SAU</t>
        </is>
      </c>
      <c r="E1441" s="6" t="n">
        <v>3598.15</v>
      </c>
      <c r="F1441" s="6">
        <f>E1441*0.22</f>
        <v/>
      </c>
      <c r="G1441" s="6">
        <f>E1441+F1441</f>
        <v/>
      </c>
      <c r="H1441" s="10" t="n">
        <v>3</v>
      </c>
      <c r="I1441" s="7">
        <f>H1441/(180*0.714)</f>
        <v/>
      </c>
    </row>
    <row r="1442">
      <c r="A1442" s="4" t="inlineStr">
        <is>
          <t>SERV-11438</t>
        </is>
      </c>
      <c r="B1442" s="5" t="inlineStr">
        <is>
          <t>Técnico de Enfermagem / Agente de Saúde</t>
        </is>
      </c>
      <c r="C1442" s="4" t="inlineStr">
        <is>
          <t>Efetivo Concursado</t>
        </is>
      </c>
      <c r="D1442" s="4" t="inlineStr">
        <is>
          <t>SEC-SAU</t>
        </is>
      </c>
      <c r="E1442" s="6" t="n">
        <v>3565.77</v>
      </c>
      <c r="F1442" s="6">
        <f>E1442*0.22</f>
        <v/>
      </c>
      <c r="G1442" s="6">
        <f>E1442+F1442</f>
        <v/>
      </c>
      <c r="H1442" s="10" t="n">
        <v>12</v>
      </c>
      <c r="I1442" s="7">
        <f>H1442/(180*0.714)</f>
        <v/>
      </c>
    </row>
    <row r="1443">
      <c r="A1443" s="4" t="inlineStr">
        <is>
          <t>SERV-11439</t>
        </is>
      </c>
      <c r="B1443" s="5" t="inlineStr">
        <is>
          <t>Técnico de Enfermagem / Agente de Saúde</t>
        </is>
      </c>
      <c r="C1443" s="4" t="inlineStr">
        <is>
          <t>Efetivo Concursado</t>
        </is>
      </c>
      <c r="D1443" s="4" t="inlineStr">
        <is>
          <t>SEC-SAU</t>
        </is>
      </c>
      <c r="E1443" s="6" t="n">
        <v>3960.78</v>
      </c>
      <c r="F1443" s="6">
        <f>E1443*0.22</f>
        <v/>
      </c>
      <c r="G1443" s="6">
        <f>E1443+F1443</f>
        <v/>
      </c>
      <c r="H1443" s="10" t="n">
        <v>3</v>
      </c>
      <c r="I1443" s="7">
        <f>H1443/(180*0.714)</f>
        <v/>
      </c>
    </row>
    <row r="1444">
      <c r="A1444" s="4" t="inlineStr">
        <is>
          <t>SERV-11440</t>
        </is>
      </c>
      <c r="B1444" s="5" t="inlineStr">
        <is>
          <t>Técnico de Enfermagem / Agente de Saúde</t>
        </is>
      </c>
      <c r="C1444" s="4" t="inlineStr">
        <is>
          <t>Efetivo Concursado</t>
        </is>
      </c>
      <c r="D1444" s="4" t="inlineStr">
        <is>
          <t>SEC-SAU</t>
        </is>
      </c>
      <c r="E1444" s="6" t="n">
        <v>3584.88</v>
      </c>
      <c r="F1444" s="6">
        <f>E1444*0.22</f>
        <v/>
      </c>
      <c r="G1444" s="6">
        <f>E1444+F1444</f>
        <v/>
      </c>
      <c r="H1444" s="10" t="n">
        <v>6</v>
      </c>
      <c r="I1444" s="7">
        <f>H1444/(180*0.714)</f>
        <v/>
      </c>
    </row>
    <row r="1445">
      <c r="A1445" s="4" t="inlineStr">
        <is>
          <t>SERV-11441</t>
        </is>
      </c>
      <c r="B1445" s="5" t="inlineStr">
        <is>
          <t>Técnico de Enfermagem / Agente de Saúde</t>
        </is>
      </c>
      <c r="C1445" s="4" t="inlineStr">
        <is>
          <t>Efetivo Concursado</t>
        </is>
      </c>
      <c r="D1445" s="4" t="inlineStr">
        <is>
          <t>SEC-SAU</t>
        </is>
      </c>
      <c r="E1445" s="6" t="n">
        <v>3909.54</v>
      </c>
      <c r="F1445" s="6">
        <f>E1445*0.22</f>
        <v/>
      </c>
      <c r="G1445" s="6">
        <f>E1445+F1445</f>
        <v/>
      </c>
      <c r="H1445" s="10" t="n">
        <v>3</v>
      </c>
      <c r="I1445" s="7">
        <f>H1445/(180*0.714)</f>
        <v/>
      </c>
    </row>
    <row r="1446">
      <c r="A1446" s="4" t="inlineStr">
        <is>
          <t>SERV-11442</t>
        </is>
      </c>
      <c r="B1446" s="5" t="inlineStr">
        <is>
          <t>Técnico de Enfermagem / Agente de Saúde</t>
        </is>
      </c>
      <c r="C1446" s="4" t="inlineStr">
        <is>
          <t>Efetivo Concursado</t>
        </is>
      </c>
      <c r="D1446" s="4" t="inlineStr">
        <is>
          <t>SEC-SAU</t>
        </is>
      </c>
      <c r="E1446" s="6" t="n">
        <v>3767.26</v>
      </c>
      <c r="F1446" s="6">
        <f>E1446*0.22</f>
        <v/>
      </c>
      <c r="G1446" s="6">
        <f>E1446+F1446</f>
        <v/>
      </c>
      <c r="H1446" s="10" t="n">
        <v>11</v>
      </c>
      <c r="I1446" s="7">
        <f>H1446/(180*0.714)</f>
        <v/>
      </c>
    </row>
    <row r="1447">
      <c r="A1447" s="4" t="inlineStr">
        <is>
          <t>SERV-11443</t>
        </is>
      </c>
      <c r="B1447" s="5" t="inlineStr">
        <is>
          <t>Técnico de Enfermagem / Agente de Saúde</t>
        </is>
      </c>
      <c r="C1447" s="4" t="inlineStr">
        <is>
          <t>Efetivo Concursado</t>
        </is>
      </c>
      <c r="D1447" s="4" t="inlineStr">
        <is>
          <t>SEC-SAU</t>
        </is>
      </c>
      <c r="E1447" s="6" t="n">
        <v>3881.28</v>
      </c>
      <c r="F1447" s="6">
        <f>E1447*0.22</f>
        <v/>
      </c>
      <c r="G1447" s="6">
        <f>E1447+F1447</f>
        <v/>
      </c>
      <c r="H1447" s="10" t="n">
        <v>8</v>
      </c>
      <c r="I1447" s="7">
        <f>H1447/(180*0.714)</f>
        <v/>
      </c>
    </row>
    <row r="1448">
      <c r="A1448" s="4" t="inlineStr">
        <is>
          <t>SERV-11444</t>
        </is>
      </c>
      <c r="B1448" s="5" t="inlineStr">
        <is>
          <t>Técnico de Enfermagem / Agente de Saúde</t>
        </is>
      </c>
      <c r="C1448" s="4" t="inlineStr">
        <is>
          <t>Efetivo Concursado</t>
        </is>
      </c>
      <c r="D1448" s="4" t="inlineStr">
        <is>
          <t>SEC-SAU</t>
        </is>
      </c>
      <c r="E1448" s="6" t="n">
        <v>3497.11</v>
      </c>
      <c r="F1448" s="6">
        <f>E1448*0.22</f>
        <v/>
      </c>
      <c r="G1448" s="6">
        <f>E1448+F1448</f>
        <v/>
      </c>
      <c r="H1448" s="10" t="n">
        <v>10</v>
      </c>
      <c r="I1448" s="7">
        <f>H1448/(180*0.714)</f>
        <v/>
      </c>
    </row>
    <row r="1449">
      <c r="A1449" s="4" t="inlineStr">
        <is>
          <t>SERV-11445</t>
        </is>
      </c>
      <c r="B1449" s="5" t="inlineStr">
        <is>
          <t>Técnico de Enfermagem / Agente de Saúde</t>
        </is>
      </c>
      <c r="C1449" s="4" t="inlineStr">
        <is>
          <t>Efetivo Concursado</t>
        </is>
      </c>
      <c r="D1449" s="4" t="inlineStr">
        <is>
          <t>SEC-SAU</t>
        </is>
      </c>
      <c r="E1449" s="6" t="n">
        <v>4163.87</v>
      </c>
      <c r="F1449" s="6">
        <f>E1449*0.22</f>
        <v/>
      </c>
      <c r="G1449" s="6">
        <f>E1449+F1449</f>
        <v/>
      </c>
      <c r="H1449" s="10" t="n">
        <v>5</v>
      </c>
      <c r="I1449" s="7">
        <f>H1449/(180*0.714)</f>
        <v/>
      </c>
    </row>
    <row r="1450">
      <c r="A1450" s="4" t="inlineStr">
        <is>
          <t>SERV-11446</t>
        </is>
      </c>
      <c r="B1450" s="5" t="inlineStr">
        <is>
          <t>Técnico de Enfermagem / Agente de Saúde</t>
        </is>
      </c>
      <c r="C1450" s="4" t="inlineStr">
        <is>
          <t>Efetivo Concursado</t>
        </is>
      </c>
      <c r="D1450" s="4" t="inlineStr">
        <is>
          <t>SEC-SAU</t>
        </is>
      </c>
      <c r="E1450" s="6" t="n">
        <v>4224.92</v>
      </c>
      <c r="F1450" s="6">
        <f>E1450*0.22</f>
        <v/>
      </c>
      <c r="G1450" s="6">
        <f>E1450+F1450</f>
        <v/>
      </c>
      <c r="H1450" s="10" t="n">
        <v>10</v>
      </c>
      <c r="I1450" s="7">
        <f>H1450/(180*0.714)</f>
        <v/>
      </c>
    </row>
    <row r="1451">
      <c r="A1451" s="4" t="inlineStr">
        <is>
          <t>SERV-11447</t>
        </is>
      </c>
      <c r="B1451" s="5" t="inlineStr">
        <is>
          <t>Técnico de Enfermagem / Agente de Saúde</t>
        </is>
      </c>
      <c r="C1451" s="4" t="inlineStr">
        <is>
          <t>Efetivo Concursado</t>
        </is>
      </c>
      <c r="D1451" s="4" t="inlineStr">
        <is>
          <t>SEC-SAU</t>
        </is>
      </c>
      <c r="E1451" s="6" t="n">
        <v>3923.87</v>
      </c>
      <c r="F1451" s="6">
        <f>E1451*0.22</f>
        <v/>
      </c>
      <c r="G1451" s="6">
        <f>E1451+F1451</f>
        <v/>
      </c>
      <c r="H1451" s="10" t="n">
        <v>10</v>
      </c>
      <c r="I1451" s="7">
        <f>H1451/(180*0.714)</f>
        <v/>
      </c>
    </row>
    <row r="1452">
      <c r="A1452" s="4" t="inlineStr">
        <is>
          <t>SERV-11448</t>
        </is>
      </c>
      <c r="B1452" s="5" t="inlineStr">
        <is>
          <t>Técnico de Enfermagem / Agente de Saúde</t>
        </is>
      </c>
      <c r="C1452" s="4" t="inlineStr">
        <is>
          <t>Efetivo Concursado</t>
        </is>
      </c>
      <c r="D1452" s="4" t="inlineStr">
        <is>
          <t>SEC-SAU</t>
        </is>
      </c>
      <c r="E1452" s="6" t="n">
        <v>3552.33</v>
      </c>
      <c r="F1452" s="6">
        <f>E1452*0.22</f>
        <v/>
      </c>
      <c r="G1452" s="6">
        <f>E1452+F1452</f>
        <v/>
      </c>
      <c r="H1452" s="10" t="n">
        <v>5</v>
      </c>
      <c r="I1452" s="7">
        <f>H1452/(180*0.714)</f>
        <v/>
      </c>
    </row>
    <row r="1453">
      <c r="A1453" s="4" t="inlineStr">
        <is>
          <t>SERV-11449</t>
        </is>
      </c>
      <c r="B1453" s="5" t="inlineStr">
        <is>
          <t>Técnico de Enfermagem / Agente de Saúde</t>
        </is>
      </c>
      <c r="C1453" s="4" t="inlineStr">
        <is>
          <t>Efetivo Concursado</t>
        </is>
      </c>
      <c r="D1453" s="4" t="inlineStr">
        <is>
          <t>SEC-SAU</t>
        </is>
      </c>
      <c r="E1453" s="6" t="n">
        <v>4090.01</v>
      </c>
      <c r="F1453" s="6">
        <f>E1453*0.22</f>
        <v/>
      </c>
      <c r="G1453" s="6">
        <f>E1453+F1453</f>
        <v/>
      </c>
      <c r="H1453" s="10" t="n">
        <v>11</v>
      </c>
      <c r="I1453" s="7">
        <f>H1453/(180*0.714)</f>
        <v/>
      </c>
    </row>
    <row r="1454">
      <c r="A1454" s="4" t="inlineStr">
        <is>
          <t>SERV-11450</t>
        </is>
      </c>
      <c r="B1454" s="5" t="inlineStr">
        <is>
          <t>Técnico de Enfermagem / Agente de Saúde</t>
        </is>
      </c>
      <c r="C1454" s="4" t="inlineStr">
        <is>
          <t>Efetivo Concursado</t>
        </is>
      </c>
      <c r="D1454" s="4" t="inlineStr">
        <is>
          <t>SEC-SAU</t>
        </is>
      </c>
      <c r="E1454" s="6" t="n">
        <v>3738.15</v>
      </c>
      <c r="F1454" s="6">
        <f>E1454*0.22</f>
        <v/>
      </c>
      <c r="G1454" s="6">
        <f>E1454+F1454</f>
        <v/>
      </c>
      <c r="H1454" s="10" t="n">
        <v>7</v>
      </c>
      <c r="I1454" s="7">
        <f>H1454/(180*0.714)</f>
        <v/>
      </c>
    </row>
    <row r="1455">
      <c r="A1455" s="4" t="inlineStr">
        <is>
          <t>SERV-11451</t>
        </is>
      </c>
      <c r="B1455" s="5" t="inlineStr">
        <is>
          <t>Técnico de Enfermagem / Agente de Saúde</t>
        </is>
      </c>
      <c r="C1455" s="4" t="inlineStr">
        <is>
          <t>Efetivo Concursado</t>
        </is>
      </c>
      <c r="D1455" s="4" t="inlineStr">
        <is>
          <t>SEC-SAU</t>
        </is>
      </c>
      <c r="E1455" s="6" t="n">
        <v>4095.24</v>
      </c>
      <c r="F1455" s="6">
        <f>E1455*0.22</f>
        <v/>
      </c>
      <c r="G1455" s="6">
        <f>E1455+F1455</f>
        <v/>
      </c>
      <c r="H1455" s="10" t="n">
        <v>7</v>
      </c>
      <c r="I1455" s="7">
        <f>H1455/(180*0.714)</f>
        <v/>
      </c>
    </row>
    <row r="1456">
      <c r="A1456" s="4" t="inlineStr">
        <is>
          <t>SERV-11452</t>
        </is>
      </c>
      <c r="B1456" s="5" t="inlineStr">
        <is>
          <t>Técnico de Enfermagem / Agente de Saúde</t>
        </is>
      </c>
      <c r="C1456" s="4" t="inlineStr">
        <is>
          <t>Efetivo Concursado</t>
        </is>
      </c>
      <c r="D1456" s="4" t="inlineStr">
        <is>
          <t>SEC-SAU</t>
        </is>
      </c>
      <c r="E1456" s="6" t="n">
        <v>4160.72</v>
      </c>
      <c r="F1456" s="6">
        <f>E1456*0.22</f>
        <v/>
      </c>
      <c r="G1456" s="6">
        <f>E1456+F1456</f>
        <v/>
      </c>
      <c r="H1456" s="10" t="n">
        <v>12</v>
      </c>
      <c r="I1456" s="7">
        <f>H1456/(180*0.714)</f>
        <v/>
      </c>
    </row>
    <row r="1457">
      <c r="A1457" s="4" t="inlineStr">
        <is>
          <t>SERV-11453</t>
        </is>
      </c>
      <c r="B1457" s="5" t="inlineStr">
        <is>
          <t>Técnico de Enfermagem / Agente de Saúde</t>
        </is>
      </c>
      <c r="C1457" s="4" t="inlineStr">
        <is>
          <t>Efetivo Concursado</t>
        </is>
      </c>
      <c r="D1457" s="4" t="inlineStr">
        <is>
          <t>SEC-SAU</t>
        </is>
      </c>
      <c r="E1457" s="6" t="n">
        <v>3683.86</v>
      </c>
      <c r="F1457" s="6">
        <f>E1457*0.22</f>
        <v/>
      </c>
      <c r="G1457" s="6">
        <f>E1457+F1457</f>
        <v/>
      </c>
      <c r="H1457" s="10" t="n">
        <v>9</v>
      </c>
      <c r="I1457" s="7">
        <f>H1457/(180*0.714)</f>
        <v/>
      </c>
    </row>
    <row r="1458">
      <c r="A1458" s="4" t="inlineStr">
        <is>
          <t>SERV-11454</t>
        </is>
      </c>
      <c r="B1458" s="5" t="inlineStr">
        <is>
          <t>Técnico de Enfermagem / Agente de Saúde</t>
        </is>
      </c>
      <c r="C1458" s="4" t="inlineStr">
        <is>
          <t>Efetivo Concursado</t>
        </is>
      </c>
      <c r="D1458" s="4" t="inlineStr">
        <is>
          <t>SEC-SAU</t>
        </is>
      </c>
      <c r="E1458" s="6" t="n">
        <v>4223.76</v>
      </c>
      <c r="F1458" s="6">
        <f>E1458*0.22</f>
        <v/>
      </c>
      <c r="G1458" s="6">
        <f>E1458+F1458</f>
        <v/>
      </c>
      <c r="H1458" s="10" t="n">
        <v>7</v>
      </c>
      <c r="I1458" s="7">
        <f>H1458/(180*0.714)</f>
        <v/>
      </c>
    </row>
    <row r="1459">
      <c r="A1459" s="4" t="inlineStr">
        <is>
          <t>SERV-11455</t>
        </is>
      </c>
      <c r="B1459" s="5" t="inlineStr">
        <is>
          <t>Técnico de Enfermagem / Agente de Saúde</t>
        </is>
      </c>
      <c r="C1459" s="4" t="inlineStr">
        <is>
          <t>Efetivo Concursado</t>
        </is>
      </c>
      <c r="D1459" s="4" t="inlineStr">
        <is>
          <t>SEC-SAU</t>
        </is>
      </c>
      <c r="E1459" s="6" t="n">
        <v>3691.95</v>
      </c>
      <c r="F1459" s="6">
        <f>E1459*0.22</f>
        <v/>
      </c>
      <c r="G1459" s="6">
        <f>E1459+F1459</f>
        <v/>
      </c>
      <c r="H1459" s="10" t="n">
        <v>8</v>
      </c>
      <c r="I1459" s="7">
        <f>H1459/(180*0.714)</f>
        <v/>
      </c>
    </row>
    <row r="1460">
      <c r="A1460" s="4" t="inlineStr">
        <is>
          <t>SERV-11456</t>
        </is>
      </c>
      <c r="B1460" s="5" t="inlineStr">
        <is>
          <t>Técnico de Enfermagem / Agente de Saúde</t>
        </is>
      </c>
      <c r="C1460" s="4" t="inlineStr">
        <is>
          <t>Efetivo Concursado</t>
        </is>
      </c>
      <c r="D1460" s="4" t="inlineStr">
        <is>
          <t>SEC-SAU</t>
        </is>
      </c>
      <c r="E1460" s="6" t="n">
        <v>3564.4</v>
      </c>
      <c r="F1460" s="6">
        <f>E1460*0.22</f>
        <v/>
      </c>
      <c r="G1460" s="6">
        <f>E1460+F1460</f>
        <v/>
      </c>
      <c r="H1460" s="10" t="n">
        <v>4</v>
      </c>
      <c r="I1460" s="7">
        <f>H1460/(180*0.714)</f>
        <v/>
      </c>
    </row>
    <row r="1461">
      <c r="A1461" s="4" t="inlineStr">
        <is>
          <t>SERV-11457</t>
        </is>
      </c>
      <c r="B1461" s="5" t="inlineStr">
        <is>
          <t>Técnico de Enfermagem / Agente de Saúde</t>
        </is>
      </c>
      <c r="C1461" s="4" t="inlineStr">
        <is>
          <t>Efetivo Concursado</t>
        </is>
      </c>
      <c r="D1461" s="4" t="inlineStr">
        <is>
          <t>SEC-SAU</t>
        </is>
      </c>
      <c r="E1461" s="6" t="n">
        <v>3669.99</v>
      </c>
      <c r="F1461" s="6">
        <f>E1461*0.22</f>
        <v/>
      </c>
      <c r="G1461" s="6">
        <f>E1461+F1461</f>
        <v/>
      </c>
      <c r="H1461" s="10" t="n">
        <v>13</v>
      </c>
      <c r="I1461" s="7">
        <f>H1461/(180*0.714)</f>
        <v/>
      </c>
    </row>
    <row r="1462">
      <c r="A1462" s="4" t="inlineStr">
        <is>
          <t>SERV-11458</t>
        </is>
      </c>
      <c r="B1462" s="5" t="inlineStr">
        <is>
          <t>Técnico de Enfermagem / Agente de Saúde</t>
        </is>
      </c>
      <c r="C1462" s="4" t="inlineStr">
        <is>
          <t>Efetivo Concursado</t>
        </is>
      </c>
      <c r="D1462" s="4" t="inlineStr">
        <is>
          <t>SEC-SAU</t>
        </is>
      </c>
      <c r="E1462" s="6" t="n">
        <v>4185.82</v>
      </c>
      <c r="F1462" s="6">
        <f>E1462*0.22</f>
        <v/>
      </c>
      <c r="G1462" s="6">
        <f>E1462+F1462</f>
        <v/>
      </c>
      <c r="H1462" s="10" t="n">
        <v>9</v>
      </c>
      <c r="I1462" s="7">
        <f>H1462/(180*0.714)</f>
        <v/>
      </c>
    </row>
    <row r="1463">
      <c r="A1463" s="4" t="inlineStr">
        <is>
          <t>SERV-11459</t>
        </is>
      </c>
      <c r="B1463" s="5" t="inlineStr">
        <is>
          <t>Técnico de Enfermagem / Agente de Saúde</t>
        </is>
      </c>
      <c r="C1463" s="4" t="inlineStr">
        <is>
          <t>Efetivo Concursado</t>
        </is>
      </c>
      <c r="D1463" s="4" t="inlineStr">
        <is>
          <t>SEC-SAU</t>
        </is>
      </c>
      <c r="E1463" s="6" t="n">
        <v>3757.39</v>
      </c>
      <c r="F1463" s="6">
        <f>E1463*0.22</f>
        <v/>
      </c>
      <c r="G1463" s="6">
        <f>E1463+F1463</f>
        <v/>
      </c>
      <c r="H1463" s="10" t="n">
        <v>6</v>
      </c>
      <c r="I1463" s="7">
        <f>H1463/(180*0.714)</f>
        <v/>
      </c>
    </row>
    <row r="1464">
      <c r="A1464" s="4" t="inlineStr">
        <is>
          <t>SERV-11460</t>
        </is>
      </c>
      <c r="B1464" s="5" t="inlineStr">
        <is>
          <t>Técnico de Enfermagem / Agente de Saúde</t>
        </is>
      </c>
      <c r="C1464" s="4" t="inlineStr">
        <is>
          <t>Efetivo Concursado</t>
        </is>
      </c>
      <c r="D1464" s="4" t="inlineStr">
        <is>
          <t>SEC-SAU</t>
        </is>
      </c>
      <c r="E1464" s="6" t="n">
        <v>3987.87</v>
      </c>
      <c r="F1464" s="6">
        <f>E1464*0.22</f>
        <v/>
      </c>
      <c r="G1464" s="6">
        <f>E1464+F1464</f>
        <v/>
      </c>
      <c r="H1464" s="10" t="n">
        <v>13</v>
      </c>
      <c r="I1464" s="7">
        <f>H1464/(180*0.714)</f>
        <v/>
      </c>
    </row>
    <row r="1465">
      <c r="A1465" s="4" t="inlineStr">
        <is>
          <t>SERV-11461</t>
        </is>
      </c>
      <c r="B1465" s="5" t="inlineStr">
        <is>
          <t>Técnico de Enfermagem / Agente de Saúde</t>
        </is>
      </c>
      <c r="C1465" s="4" t="inlineStr">
        <is>
          <t>Efetivo Concursado</t>
        </is>
      </c>
      <c r="D1465" s="4" t="inlineStr">
        <is>
          <t>SEC-SAU</t>
        </is>
      </c>
      <c r="E1465" s="6" t="n">
        <v>3804</v>
      </c>
      <c r="F1465" s="6">
        <f>E1465*0.22</f>
        <v/>
      </c>
      <c r="G1465" s="6">
        <f>E1465+F1465</f>
        <v/>
      </c>
      <c r="H1465" s="10" t="n">
        <v>8</v>
      </c>
      <c r="I1465" s="7">
        <f>H1465/(180*0.714)</f>
        <v/>
      </c>
    </row>
    <row r="1466">
      <c r="A1466" s="4" t="inlineStr">
        <is>
          <t>SERV-11462</t>
        </is>
      </c>
      <c r="B1466" s="5" t="inlineStr">
        <is>
          <t>Técnico de Enfermagem / Agente de Saúde</t>
        </is>
      </c>
      <c r="C1466" s="4" t="inlineStr">
        <is>
          <t>Efetivo Concursado</t>
        </is>
      </c>
      <c r="D1466" s="4" t="inlineStr">
        <is>
          <t>SEC-SAU</t>
        </is>
      </c>
      <c r="E1466" s="6" t="n">
        <v>3881.28</v>
      </c>
      <c r="F1466" s="6">
        <f>E1466*0.22</f>
        <v/>
      </c>
      <c r="G1466" s="6">
        <f>E1466+F1466</f>
        <v/>
      </c>
      <c r="H1466" s="10" t="n">
        <v>6</v>
      </c>
      <c r="I1466" s="7">
        <f>H1466/(180*0.714)</f>
        <v/>
      </c>
    </row>
    <row r="1467">
      <c r="A1467" s="4" t="inlineStr">
        <is>
          <t>SERV-11463</t>
        </is>
      </c>
      <c r="B1467" s="5" t="inlineStr">
        <is>
          <t>Técnico de Enfermagem / Agente de Saúde</t>
        </is>
      </c>
      <c r="C1467" s="4" t="inlineStr">
        <is>
          <t>Efetivo Concursado</t>
        </is>
      </c>
      <c r="D1467" s="4" t="inlineStr">
        <is>
          <t>SEC-SAU</t>
        </is>
      </c>
      <c r="E1467" s="6" t="n">
        <v>3819.41</v>
      </c>
      <c r="F1467" s="6">
        <f>E1467*0.22</f>
        <v/>
      </c>
      <c r="G1467" s="6">
        <f>E1467+F1467</f>
        <v/>
      </c>
      <c r="H1467" s="10" t="n">
        <v>9</v>
      </c>
      <c r="I1467" s="7">
        <f>H1467/(180*0.714)</f>
        <v/>
      </c>
    </row>
    <row r="1468">
      <c r="A1468" s="4" t="inlineStr">
        <is>
          <t>SERV-11464</t>
        </is>
      </c>
      <c r="B1468" s="5" t="inlineStr">
        <is>
          <t>Técnico de Enfermagem / Agente de Saúde</t>
        </is>
      </c>
      <c r="C1468" s="4" t="inlineStr">
        <is>
          <t>Efetivo Concursado</t>
        </is>
      </c>
      <c r="D1468" s="4" t="inlineStr">
        <is>
          <t>SEC-SAU</t>
        </is>
      </c>
      <c r="E1468" s="6" t="n">
        <v>4198.08</v>
      </c>
      <c r="F1468" s="6">
        <f>E1468*0.22</f>
        <v/>
      </c>
      <c r="G1468" s="6">
        <f>E1468+F1468</f>
        <v/>
      </c>
      <c r="H1468" s="10" t="n">
        <v>3</v>
      </c>
      <c r="I1468" s="7">
        <f>H1468/(180*0.714)</f>
        <v/>
      </c>
    </row>
    <row r="1469">
      <c r="A1469" s="4" t="inlineStr">
        <is>
          <t>SERV-11465</t>
        </is>
      </c>
      <c r="B1469" s="5" t="inlineStr">
        <is>
          <t>Técnico de Enfermagem / Agente de Saúde</t>
        </is>
      </c>
      <c r="C1469" s="4" t="inlineStr">
        <is>
          <t>Efetivo Concursado</t>
        </is>
      </c>
      <c r="D1469" s="4" t="inlineStr">
        <is>
          <t>SEC-SAU</t>
        </is>
      </c>
      <c r="E1469" s="6" t="n">
        <v>4207.29</v>
      </c>
      <c r="F1469" s="6">
        <f>E1469*0.22</f>
        <v/>
      </c>
      <c r="G1469" s="6">
        <f>E1469+F1469</f>
        <v/>
      </c>
      <c r="H1469" s="10" t="n">
        <v>12</v>
      </c>
      <c r="I1469" s="7">
        <f>H1469/(180*0.714)</f>
        <v/>
      </c>
    </row>
    <row r="1470">
      <c r="A1470" s="4" t="inlineStr">
        <is>
          <t>SERV-11466</t>
        </is>
      </c>
      <c r="B1470" s="5" t="inlineStr">
        <is>
          <t>Técnico de Enfermagem / Agente de Saúde</t>
        </is>
      </c>
      <c r="C1470" s="4" t="inlineStr">
        <is>
          <t>Efetivo Concursado</t>
        </is>
      </c>
      <c r="D1470" s="4" t="inlineStr">
        <is>
          <t>SEC-SAU</t>
        </is>
      </c>
      <c r="E1470" s="6" t="n">
        <v>3818.57</v>
      </c>
      <c r="F1470" s="6">
        <f>E1470*0.22</f>
        <v/>
      </c>
      <c r="G1470" s="6">
        <f>E1470+F1470</f>
        <v/>
      </c>
      <c r="H1470" s="10" t="n">
        <v>4</v>
      </c>
      <c r="I1470" s="7">
        <f>H1470/(180*0.714)</f>
        <v/>
      </c>
    </row>
    <row r="1471">
      <c r="A1471" s="4" t="inlineStr">
        <is>
          <t>SERV-11467</t>
        </is>
      </c>
      <c r="B1471" s="5" t="inlineStr">
        <is>
          <t>Técnico de Enfermagem / Agente de Saúde</t>
        </is>
      </c>
      <c r="C1471" s="4" t="inlineStr">
        <is>
          <t>Efetivo Concursado</t>
        </is>
      </c>
      <c r="D1471" s="4" t="inlineStr">
        <is>
          <t>SEC-SAU</t>
        </is>
      </c>
      <c r="E1471" s="6" t="n">
        <v>4086.6</v>
      </c>
      <c r="F1471" s="6">
        <f>E1471*0.22</f>
        <v/>
      </c>
      <c r="G1471" s="6">
        <f>E1471+F1471</f>
        <v/>
      </c>
      <c r="H1471" s="10" t="n">
        <v>5</v>
      </c>
      <c r="I1471" s="7">
        <f>H1471/(180*0.714)</f>
        <v/>
      </c>
    </row>
    <row r="1472">
      <c r="A1472" s="4" t="inlineStr">
        <is>
          <t>SERV-11468</t>
        </is>
      </c>
      <c r="B1472" s="5" t="inlineStr">
        <is>
          <t>Técnico de Enfermagem / Agente de Saúde</t>
        </is>
      </c>
      <c r="C1472" s="4" t="inlineStr">
        <is>
          <t>Efetivo Concursado</t>
        </is>
      </c>
      <c r="D1472" s="4" t="inlineStr">
        <is>
          <t>SEC-SAU</t>
        </is>
      </c>
      <c r="E1472" s="6" t="n">
        <v>3923.51</v>
      </c>
      <c r="F1472" s="6">
        <f>E1472*0.22</f>
        <v/>
      </c>
      <c r="G1472" s="6">
        <f>E1472+F1472</f>
        <v/>
      </c>
      <c r="H1472" s="10" t="n">
        <v>6</v>
      </c>
      <c r="I1472" s="7">
        <f>H1472/(180*0.714)</f>
        <v/>
      </c>
    </row>
    <row r="1473">
      <c r="A1473" s="4" t="inlineStr">
        <is>
          <t>SERV-11469</t>
        </is>
      </c>
      <c r="B1473" s="5" t="inlineStr">
        <is>
          <t>Técnico de Enfermagem / Agente de Saúde</t>
        </is>
      </c>
      <c r="C1473" s="4" t="inlineStr">
        <is>
          <t>Efetivo Concursado</t>
        </is>
      </c>
      <c r="D1473" s="4" t="inlineStr">
        <is>
          <t>SEC-SAU</t>
        </is>
      </c>
      <c r="E1473" s="6" t="n">
        <v>4153.89</v>
      </c>
      <c r="F1473" s="6">
        <f>E1473*0.22</f>
        <v/>
      </c>
      <c r="G1473" s="6">
        <f>E1473+F1473</f>
        <v/>
      </c>
      <c r="H1473" s="10" t="n">
        <v>5</v>
      </c>
      <c r="I1473" s="7">
        <f>H1473/(180*0.714)</f>
        <v/>
      </c>
    </row>
    <row r="1474">
      <c r="A1474" s="4" t="inlineStr">
        <is>
          <t>SERV-11470</t>
        </is>
      </c>
      <c r="B1474" s="5" t="inlineStr">
        <is>
          <t>Técnico de Enfermagem / Agente de Saúde</t>
        </is>
      </c>
      <c r="C1474" s="4" t="inlineStr">
        <is>
          <t>Efetivo Concursado</t>
        </is>
      </c>
      <c r="D1474" s="4" t="inlineStr">
        <is>
          <t>SEC-SAU</t>
        </is>
      </c>
      <c r="E1474" s="6" t="n">
        <v>4020.93</v>
      </c>
      <c r="F1474" s="6">
        <f>E1474*0.22</f>
        <v/>
      </c>
      <c r="G1474" s="6">
        <f>E1474+F1474</f>
        <v/>
      </c>
      <c r="H1474" s="10" t="n">
        <v>6</v>
      </c>
      <c r="I1474" s="7">
        <f>H1474/(180*0.714)</f>
        <v/>
      </c>
    </row>
    <row r="1475">
      <c r="A1475" s="4" t="inlineStr">
        <is>
          <t>SERV-11471</t>
        </is>
      </c>
      <c r="B1475" s="5" t="inlineStr">
        <is>
          <t>Técnico de Enfermagem / Agente de Saúde</t>
        </is>
      </c>
      <c r="C1475" s="4" t="inlineStr">
        <is>
          <t>Efetivo Concursado</t>
        </is>
      </c>
      <c r="D1475" s="4" t="inlineStr">
        <is>
          <t>SEC-SAU</t>
        </is>
      </c>
      <c r="E1475" s="6" t="n">
        <v>4019.49</v>
      </c>
      <c r="F1475" s="6">
        <f>E1475*0.22</f>
        <v/>
      </c>
      <c r="G1475" s="6">
        <f>E1475+F1475</f>
        <v/>
      </c>
      <c r="H1475" s="10" t="n">
        <v>13</v>
      </c>
      <c r="I1475" s="7">
        <f>H1475/(180*0.714)</f>
        <v/>
      </c>
    </row>
    <row r="1476">
      <c r="A1476" s="4" t="inlineStr">
        <is>
          <t>SERV-11472</t>
        </is>
      </c>
      <c r="B1476" s="5" t="inlineStr">
        <is>
          <t>Técnico de Enfermagem / Agente de Saúde</t>
        </is>
      </c>
      <c r="C1476" s="4" t="inlineStr">
        <is>
          <t>Efetivo Concursado</t>
        </is>
      </c>
      <c r="D1476" s="4" t="inlineStr">
        <is>
          <t>SEC-SAU</t>
        </is>
      </c>
      <c r="E1476" s="6" t="n">
        <v>4017.85</v>
      </c>
      <c r="F1476" s="6">
        <f>E1476*0.22</f>
        <v/>
      </c>
      <c r="G1476" s="6">
        <f>E1476+F1476</f>
        <v/>
      </c>
      <c r="H1476" s="10" t="n">
        <v>10</v>
      </c>
      <c r="I1476" s="7">
        <f>H1476/(180*0.714)</f>
        <v/>
      </c>
    </row>
    <row r="1477">
      <c r="A1477" s="4" t="inlineStr">
        <is>
          <t>SERV-11473</t>
        </is>
      </c>
      <c r="B1477" s="5" t="inlineStr">
        <is>
          <t>Técnico de Enfermagem / Agente de Saúde</t>
        </is>
      </c>
      <c r="C1477" s="4" t="inlineStr">
        <is>
          <t>Efetivo Concursado</t>
        </is>
      </c>
      <c r="D1477" s="4" t="inlineStr">
        <is>
          <t>SEC-SAU</t>
        </is>
      </c>
      <c r="E1477" s="6" t="n">
        <v>3657.96</v>
      </c>
      <c r="F1477" s="6">
        <f>E1477*0.22</f>
        <v/>
      </c>
      <c r="G1477" s="6">
        <f>E1477+F1477</f>
        <v/>
      </c>
      <c r="H1477" s="10" t="n">
        <v>4</v>
      </c>
      <c r="I1477" s="7">
        <f>H1477/(180*0.714)</f>
        <v/>
      </c>
    </row>
    <row r="1478">
      <c r="A1478" s="4" t="inlineStr">
        <is>
          <t>SERV-11474</t>
        </is>
      </c>
      <c r="B1478" s="5" t="inlineStr">
        <is>
          <t>Técnico de Enfermagem / Agente de Saúde</t>
        </is>
      </c>
      <c r="C1478" s="4" t="inlineStr">
        <is>
          <t>Efetivo Concursado</t>
        </is>
      </c>
      <c r="D1478" s="4" t="inlineStr">
        <is>
          <t>SEC-SAU</t>
        </is>
      </c>
      <c r="E1478" s="6" t="n">
        <v>3935</v>
      </c>
      <c r="F1478" s="6">
        <f>E1478*0.22</f>
        <v/>
      </c>
      <c r="G1478" s="6">
        <f>E1478+F1478</f>
        <v/>
      </c>
      <c r="H1478" s="10" t="n">
        <v>7</v>
      </c>
      <c r="I1478" s="7">
        <f>H1478/(180*0.714)</f>
        <v/>
      </c>
    </row>
    <row r="1479">
      <c r="A1479" s="4" t="inlineStr">
        <is>
          <t>SERV-11475</t>
        </is>
      </c>
      <c r="B1479" s="5" t="inlineStr">
        <is>
          <t>Técnico de Enfermagem / Agente de Saúde</t>
        </is>
      </c>
      <c r="C1479" s="4" t="inlineStr">
        <is>
          <t>Efetivo Concursado</t>
        </is>
      </c>
      <c r="D1479" s="4" t="inlineStr">
        <is>
          <t>SEC-SAU</t>
        </is>
      </c>
      <c r="E1479" s="6" t="n">
        <v>3894.59</v>
      </c>
      <c r="F1479" s="6">
        <f>E1479*0.22</f>
        <v/>
      </c>
      <c r="G1479" s="6">
        <f>E1479+F1479</f>
        <v/>
      </c>
      <c r="H1479" s="10" t="n">
        <v>11</v>
      </c>
      <c r="I1479" s="7">
        <f>H1479/(180*0.714)</f>
        <v/>
      </c>
    </row>
    <row r="1480">
      <c r="A1480" s="4" t="inlineStr">
        <is>
          <t>SERV-11476</t>
        </is>
      </c>
      <c r="B1480" s="5" t="inlineStr">
        <is>
          <t>Técnico de Enfermagem / Agente de Saúde</t>
        </is>
      </c>
      <c r="C1480" s="4" t="inlineStr">
        <is>
          <t>Efetivo Concursado</t>
        </is>
      </c>
      <c r="D1480" s="4" t="inlineStr">
        <is>
          <t>SEC-SAU</t>
        </is>
      </c>
      <c r="E1480" s="6" t="n">
        <v>3716.06</v>
      </c>
      <c r="F1480" s="6">
        <f>E1480*0.22</f>
        <v/>
      </c>
      <c r="G1480" s="6">
        <f>E1480+F1480</f>
        <v/>
      </c>
      <c r="H1480" s="10" t="n">
        <v>8</v>
      </c>
      <c r="I1480" s="7">
        <f>H1480/(180*0.714)</f>
        <v/>
      </c>
    </row>
    <row r="1481">
      <c r="A1481" s="4" t="inlineStr">
        <is>
          <t>SERV-11477</t>
        </is>
      </c>
      <c r="B1481" s="5" t="inlineStr">
        <is>
          <t>Técnico de Enfermagem / Agente de Saúde</t>
        </is>
      </c>
      <c r="C1481" s="4" t="inlineStr">
        <is>
          <t>Efetivo Concursado</t>
        </is>
      </c>
      <c r="D1481" s="4" t="inlineStr">
        <is>
          <t>SEC-SAU</t>
        </is>
      </c>
      <c r="E1481" s="6" t="n">
        <v>3976.85</v>
      </c>
      <c r="F1481" s="6">
        <f>E1481*0.22</f>
        <v/>
      </c>
      <c r="G1481" s="6">
        <f>E1481+F1481</f>
        <v/>
      </c>
      <c r="H1481" s="10" t="n">
        <v>3</v>
      </c>
      <c r="I1481" s="7">
        <f>H1481/(180*0.714)</f>
        <v/>
      </c>
    </row>
    <row r="1482">
      <c r="A1482" s="4" t="inlineStr">
        <is>
          <t>SERV-11478</t>
        </is>
      </c>
      <c r="B1482" s="5" t="inlineStr">
        <is>
          <t>Técnico de Enfermagem / Agente de Saúde</t>
        </is>
      </c>
      <c r="C1482" s="4" t="inlineStr">
        <is>
          <t>Efetivo Concursado</t>
        </is>
      </c>
      <c r="D1482" s="4" t="inlineStr">
        <is>
          <t>SEC-SAU</t>
        </is>
      </c>
      <c r="E1482" s="6" t="n">
        <v>3861.35</v>
      </c>
      <c r="F1482" s="6">
        <f>E1482*0.22</f>
        <v/>
      </c>
      <c r="G1482" s="6">
        <f>E1482+F1482</f>
        <v/>
      </c>
      <c r="H1482" s="10" t="n">
        <v>7</v>
      </c>
      <c r="I1482" s="7">
        <f>H1482/(180*0.714)</f>
        <v/>
      </c>
    </row>
    <row r="1483">
      <c r="A1483" s="4" t="inlineStr">
        <is>
          <t>SERV-11479</t>
        </is>
      </c>
      <c r="B1483" s="5" t="inlineStr">
        <is>
          <t>Técnico de Enfermagem / Agente de Saúde</t>
        </is>
      </c>
      <c r="C1483" s="4" t="inlineStr">
        <is>
          <t>Efetivo Concursado</t>
        </is>
      </c>
      <c r="D1483" s="4" t="inlineStr">
        <is>
          <t>SEC-SAU</t>
        </is>
      </c>
      <c r="E1483" s="6" t="n">
        <v>4096.37</v>
      </c>
      <c r="F1483" s="6">
        <f>E1483*0.22</f>
        <v/>
      </c>
      <c r="G1483" s="6">
        <f>E1483+F1483</f>
        <v/>
      </c>
      <c r="H1483" s="10" t="n">
        <v>9</v>
      </c>
      <c r="I1483" s="7">
        <f>H1483/(180*0.714)</f>
        <v/>
      </c>
    </row>
    <row r="1484">
      <c r="A1484" s="4" t="inlineStr">
        <is>
          <t>SERV-11480</t>
        </is>
      </c>
      <c r="B1484" s="5" t="inlineStr">
        <is>
          <t>Técnico de Enfermagem / Agente de Saúde</t>
        </is>
      </c>
      <c r="C1484" s="4" t="inlineStr">
        <is>
          <t>Efetivo Concursado</t>
        </is>
      </c>
      <c r="D1484" s="4" t="inlineStr">
        <is>
          <t>SEC-SAU</t>
        </is>
      </c>
      <c r="E1484" s="6" t="n">
        <v>4200.15</v>
      </c>
      <c r="F1484" s="6">
        <f>E1484*0.22</f>
        <v/>
      </c>
      <c r="G1484" s="6">
        <f>E1484+F1484</f>
        <v/>
      </c>
      <c r="H1484" s="10" t="n">
        <v>4</v>
      </c>
      <c r="I1484" s="7">
        <f>H1484/(180*0.714)</f>
        <v/>
      </c>
    </row>
    <row r="1485">
      <c r="A1485" s="4" t="inlineStr">
        <is>
          <t>SERV-11481</t>
        </is>
      </c>
      <c r="B1485" s="5" t="inlineStr">
        <is>
          <t>Técnico de Enfermagem / Agente de Saúde</t>
        </is>
      </c>
      <c r="C1485" s="4" t="inlineStr">
        <is>
          <t>Efetivo Concursado</t>
        </is>
      </c>
      <c r="D1485" s="4" t="inlineStr">
        <is>
          <t>SEC-SAU</t>
        </is>
      </c>
      <c r="E1485" s="6" t="n">
        <v>4197.21</v>
      </c>
      <c r="F1485" s="6">
        <f>E1485*0.22</f>
        <v/>
      </c>
      <c r="G1485" s="6">
        <f>E1485+F1485</f>
        <v/>
      </c>
      <c r="H1485" s="10" t="n">
        <v>10</v>
      </c>
      <c r="I1485" s="7">
        <f>H1485/(180*0.714)</f>
        <v/>
      </c>
    </row>
    <row r="1486">
      <c r="A1486" s="4" t="inlineStr">
        <is>
          <t>SERV-11482</t>
        </is>
      </c>
      <c r="B1486" s="5" t="inlineStr">
        <is>
          <t>Técnico de Enfermagem / Agente de Saúde</t>
        </is>
      </c>
      <c r="C1486" s="4" t="inlineStr">
        <is>
          <t>Efetivo Concursado</t>
        </is>
      </c>
      <c r="D1486" s="4" t="inlineStr">
        <is>
          <t>SEC-SAU</t>
        </is>
      </c>
      <c r="E1486" s="6" t="n">
        <v>4113.17</v>
      </c>
      <c r="F1486" s="6">
        <f>E1486*0.22</f>
        <v/>
      </c>
      <c r="G1486" s="6">
        <f>E1486+F1486</f>
        <v/>
      </c>
      <c r="H1486" s="10" t="n">
        <v>10</v>
      </c>
      <c r="I1486" s="7">
        <f>H1486/(180*0.714)</f>
        <v/>
      </c>
    </row>
    <row r="1487">
      <c r="A1487" s="4" t="inlineStr">
        <is>
          <t>SERV-11483</t>
        </is>
      </c>
      <c r="B1487" s="5" t="inlineStr">
        <is>
          <t>Técnico de Enfermagem / Agente de Saúde</t>
        </is>
      </c>
      <c r="C1487" s="4" t="inlineStr">
        <is>
          <t>Efetivo Concursado</t>
        </is>
      </c>
      <c r="D1487" s="4" t="inlineStr">
        <is>
          <t>SEC-SAU</t>
        </is>
      </c>
      <c r="E1487" s="6" t="n">
        <v>3850.77</v>
      </c>
      <c r="F1487" s="6">
        <f>E1487*0.22</f>
        <v/>
      </c>
      <c r="G1487" s="6">
        <f>E1487+F1487</f>
        <v/>
      </c>
      <c r="H1487" s="10" t="n">
        <v>9</v>
      </c>
      <c r="I1487" s="7">
        <f>H1487/(180*0.714)</f>
        <v/>
      </c>
    </row>
    <row r="1488">
      <c r="A1488" s="4" t="inlineStr">
        <is>
          <t>SERV-11484</t>
        </is>
      </c>
      <c r="B1488" s="5" t="inlineStr">
        <is>
          <t>Técnico de Enfermagem / Agente de Saúde</t>
        </is>
      </c>
      <c r="C1488" s="4" t="inlineStr">
        <is>
          <t>Efetivo Concursado</t>
        </is>
      </c>
      <c r="D1488" s="4" t="inlineStr">
        <is>
          <t>SEC-SAU</t>
        </is>
      </c>
      <c r="E1488" s="6" t="n">
        <v>3584</v>
      </c>
      <c r="F1488" s="6">
        <f>E1488*0.22</f>
        <v/>
      </c>
      <c r="G1488" s="6">
        <f>E1488+F1488</f>
        <v/>
      </c>
      <c r="H1488" s="10" t="n">
        <v>3</v>
      </c>
      <c r="I1488" s="7">
        <f>H1488/(180*0.714)</f>
        <v/>
      </c>
    </row>
    <row r="1489">
      <c r="A1489" s="4" t="inlineStr">
        <is>
          <t>SERV-11485</t>
        </is>
      </c>
      <c r="B1489" s="5" t="inlineStr">
        <is>
          <t>Técnico de Enfermagem / Agente de Saúde</t>
        </is>
      </c>
      <c r="C1489" s="4" t="inlineStr">
        <is>
          <t>Efetivo Concursado</t>
        </is>
      </c>
      <c r="D1489" s="4" t="inlineStr">
        <is>
          <t>SEC-SAU</t>
        </is>
      </c>
      <c r="E1489" s="6" t="n">
        <v>4071.77</v>
      </c>
      <c r="F1489" s="6">
        <f>E1489*0.22</f>
        <v/>
      </c>
      <c r="G1489" s="6">
        <f>E1489+F1489</f>
        <v/>
      </c>
      <c r="H1489" s="10" t="n">
        <v>8</v>
      </c>
      <c r="I1489" s="7">
        <f>H1489/(180*0.714)</f>
        <v/>
      </c>
    </row>
    <row r="1490">
      <c r="A1490" s="4" t="inlineStr">
        <is>
          <t>SERV-11486</t>
        </is>
      </c>
      <c r="B1490" s="5" t="inlineStr">
        <is>
          <t>Técnico de Enfermagem / Agente de Saúde</t>
        </is>
      </c>
      <c r="C1490" s="4" t="inlineStr">
        <is>
          <t>Efetivo Concursado</t>
        </is>
      </c>
      <c r="D1490" s="4" t="inlineStr">
        <is>
          <t>SEC-SAU</t>
        </is>
      </c>
      <c r="E1490" s="6" t="n">
        <v>4205.11</v>
      </c>
      <c r="F1490" s="6">
        <f>E1490*0.22</f>
        <v/>
      </c>
      <c r="G1490" s="6">
        <f>E1490+F1490</f>
        <v/>
      </c>
      <c r="H1490" s="10" t="n">
        <v>8</v>
      </c>
      <c r="I1490" s="7">
        <f>H1490/(180*0.714)</f>
        <v/>
      </c>
    </row>
    <row r="1491">
      <c r="A1491" s="4" t="inlineStr">
        <is>
          <t>SERV-11487</t>
        </is>
      </c>
      <c r="B1491" s="5" t="inlineStr">
        <is>
          <t>Técnico de Enfermagem / Agente de Saúde</t>
        </is>
      </c>
      <c r="C1491" s="4" t="inlineStr">
        <is>
          <t>Efetivo Concursado</t>
        </is>
      </c>
      <c r="D1491" s="4" t="inlineStr">
        <is>
          <t>SEC-SAU</t>
        </is>
      </c>
      <c r="E1491" s="6" t="n">
        <v>4171.43</v>
      </c>
      <c r="F1491" s="6">
        <f>E1491*0.22</f>
        <v/>
      </c>
      <c r="G1491" s="6">
        <f>E1491+F1491</f>
        <v/>
      </c>
      <c r="H1491" s="10" t="n">
        <v>3</v>
      </c>
      <c r="I1491" s="7">
        <f>H1491/(180*0.714)</f>
        <v/>
      </c>
    </row>
    <row r="1492">
      <c r="A1492" s="4" t="inlineStr">
        <is>
          <t>SERV-11488</t>
        </is>
      </c>
      <c r="B1492" s="5" t="inlineStr">
        <is>
          <t>Técnico de Enfermagem / Agente de Saúde</t>
        </is>
      </c>
      <c r="C1492" s="4" t="inlineStr">
        <is>
          <t>Efetivo Concursado</t>
        </is>
      </c>
      <c r="D1492" s="4" t="inlineStr">
        <is>
          <t>SEC-SAU</t>
        </is>
      </c>
      <c r="E1492" s="6" t="n">
        <v>3786.09</v>
      </c>
      <c r="F1492" s="6">
        <f>E1492*0.22</f>
        <v/>
      </c>
      <c r="G1492" s="6">
        <f>E1492+F1492</f>
        <v/>
      </c>
      <c r="H1492" s="10" t="n">
        <v>10</v>
      </c>
      <c r="I1492" s="7">
        <f>H1492/(180*0.714)</f>
        <v/>
      </c>
    </row>
    <row r="1493">
      <c r="A1493" s="4" t="inlineStr">
        <is>
          <t>SERV-11489</t>
        </is>
      </c>
      <c r="B1493" s="5" t="inlineStr">
        <is>
          <t>Técnico de Enfermagem / Agente de Saúde</t>
        </is>
      </c>
      <c r="C1493" s="4" t="inlineStr">
        <is>
          <t>Efetivo Concursado</t>
        </is>
      </c>
      <c r="D1493" s="4" t="inlineStr">
        <is>
          <t>SEC-SAU</t>
        </is>
      </c>
      <c r="E1493" s="6" t="n">
        <v>3632.35</v>
      </c>
      <c r="F1493" s="6">
        <f>E1493*0.22</f>
        <v/>
      </c>
      <c r="G1493" s="6">
        <f>E1493+F1493</f>
        <v/>
      </c>
      <c r="H1493" s="10" t="n">
        <v>6</v>
      </c>
      <c r="I1493" s="7">
        <f>H1493/(180*0.714)</f>
        <v/>
      </c>
    </row>
    <row r="1494">
      <c r="A1494" s="4" t="inlineStr">
        <is>
          <t>SERV-11490</t>
        </is>
      </c>
      <c r="B1494" s="5" t="inlineStr">
        <is>
          <t>Técnico de Enfermagem / Agente de Saúde</t>
        </is>
      </c>
      <c r="C1494" s="4" t="inlineStr">
        <is>
          <t>Efetivo Concursado</t>
        </is>
      </c>
      <c r="D1494" s="4" t="inlineStr">
        <is>
          <t>SEC-SAU</t>
        </is>
      </c>
      <c r="E1494" s="6" t="n">
        <v>3592.33</v>
      </c>
      <c r="F1494" s="6">
        <f>E1494*0.22</f>
        <v/>
      </c>
      <c r="G1494" s="6">
        <f>E1494+F1494</f>
        <v/>
      </c>
      <c r="H1494" s="10" t="n">
        <v>9</v>
      </c>
      <c r="I1494" s="7">
        <f>H1494/(180*0.714)</f>
        <v/>
      </c>
    </row>
    <row r="1495">
      <c r="A1495" s="4" t="inlineStr">
        <is>
          <t>SERV-11491</t>
        </is>
      </c>
      <c r="B1495" s="5" t="inlineStr">
        <is>
          <t>Técnico de Enfermagem / Agente de Saúde</t>
        </is>
      </c>
      <c r="C1495" s="4" t="inlineStr">
        <is>
          <t>Efetivo Concursado</t>
        </is>
      </c>
      <c r="D1495" s="4" t="inlineStr">
        <is>
          <t>SEC-SAU</t>
        </is>
      </c>
      <c r="E1495" s="6" t="n">
        <v>3504.86</v>
      </c>
      <c r="F1495" s="6">
        <f>E1495*0.22</f>
        <v/>
      </c>
      <c r="G1495" s="6">
        <f>E1495+F1495</f>
        <v/>
      </c>
      <c r="H1495" s="10" t="n">
        <v>5</v>
      </c>
      <c r="I1495" s="7">
        <f>H1495/(180*0.714)</f>
        <v/>
      </c>
    </row>
    <row r="1496">
      <c r="A1496" s="4" t="inlineStr">
        <is>
          <t>SERV-11492</t>
        </is>
      </c>
      <c r="B1496" s="5" t="inlineStr">
        <is>
          <t>Técnico de Enfermagem / Agente de Saúde</t>
        </is>
      </c>
      <c r="C1496" s="4" t="inlineStr">
        <is>
          <t>Efetivo Concursado</t>
        </is>
      </c>
      <c r="D1496" s="4" t="inlineStr">
        <is>
          <t>SEC-SAU</t>
        </is>
      </c>
      <c r="E1496" s="6" t="n">
        <v>4109.83</v>
      </c>
      <c r="F1496" s="6">
        <f>E1496*0.22</f>
        <v/>
      </c>
      <c r="G1496" s="6">
        <f>E1496+F1496</f>
        <v/>
      </c>
      <c r="H1496" s="10" t="n">
        <v>11</v>
      </c>
      <c r="I1496" s="7">
        <f>H1496/(180*0.714)</f>
        <v/>
      </c>
    </row>
    <row r="1497">
      <c r="A1497" s="4" t="inlineStr">
        <is>
          <t>SERV-11493</t>
        </is>
      </c>
      <c r="B1497" s="5" t="inlineStr">
        <is>
          <t>Técnico de Enfermagem / Agente de Saúde</t>
        </is>
      </c>
      <c r="C1497" s="4" t="inlineStr">
        <is>
          <t>Efetivo Concursado</t>
        </is>
      </c>
      <c r="D1497" s="4" t="inlineStr">
        <is>
          <t>SEC-SAU</t>
        </is>
      </c>
      <c r="E1497" s="6" t="n">
        <v>4090.14</v>
      </c>
      <c r="F1497" s="6">
        <f>E1497*0.22</f>
        <v/>
      </c>
      <c r="G1497" s="6">
        <f>E1497+F1497</f>
        <v/>
      </c>
      <c r="H1497" s="10" t="n">
        <v>13</v>
      </c>
      <c r="I1497" s="7">
        <f>H1497/(180*0.714)</f>
        <v/>
      </c>
    </row>
    <row r="1498">
      <c r="A1498" s="4" t="inlineStr">
        <is>
          <t>SERV-11494</t>
        </is>
      </c>
      <c r="B1498" s="5" t="inlineStr">
        <is>
          <t>Técnico de Enfermagem / Agente de Saúde</t>
        </is>
      </c>
      <c r="C1498" s="4" t="inlineStr">
        <is>
          <t>Efetivo Concursado</t>
        </is>
      </c>
      <c r="D1498" s="4" t="inlineStr">
        <is>
          <t>SEC-SAU</t>
        </is>
      </c>
      <c r="E1498" s="6" t="n">
        <v>3875.47</v>
      </c>
      <c r="F1498" s="6">
        <f>E1498*0.22</f>
        <v/>
      </c>
      <c r="G1498" s="6">
        <f>E1498+F1498</f>
        <v/>
      </c>
      <c r="H1498" s="10" t="n">
        <v>11</v>
      </c>
      <c r="I1498" s="7">
        <f>H1498/(180*0.714)</f>
        <v/>
      </c>
    </row>
    <row r="1499">
      <c r="A1499" s="4" t="inlineStr">
        <is>
          <t>SERV-11495</t>
        </is>
      </c>
      <c r="B1499" s="5" t="inlineStr">
        <is>
          <t>Técnico de Enfermagem / Agente de Saúde</t>
        </is>
      </c>
      <c r="C1499" s="4" t="inlineStr">
        <is>
          <t>Efetivo Concursado</t>
        </is>
      </c>
      <c r="D1499" s="4" t="inlineStr">
        <is>
          <t>SEC-SAU</t>
        </is>
      </c>
      <c r="E1499" s="6" t="n">
        <v>4063.52</v>
      </c>
      <c r="F1499" s="6">
        <f>E1499*0.22</f>
        <v/>
      </c>
      <c r="G1499" s="6">
        <f>E1499+F1499</f>
        <v/>
      </c>
      <c r="H1499" s="10" t="n">
        <v>6</v>
      </c>
      <c r="I1499" s="7">
        <f>H1499/(180*0.714)</f>
        <v/>
      </c>
    </row>
    <row r="1500">
      <c r="A1500" s="4" t="inlineStr">
        <is>
          <t>SERV-11496</t>
        </is>
      </c>
      <c r="B1500" s="5" t="inlineStr">
        <is>
          <t>Técnico de Enfermagem / Agente de Saúde</t>
        </is>
      </c>
      <c r="C1500" s="4" t="inlineStr">
        <is>
          <t>Efetivo Concursado</t>
        </is>
      </c>
      <c r="D1500" s="4" t="inlineStr">
        <is>
          <t>SEC-SAU</t>
        </is>
      </c>
      <c r="E1500" s="6" t="n">
        <v>3710.95</v>
      </c>
      <c r="F1500" s="6">
        <f>E1500*0.22</f>
        <v/>
      </c>
      <c r="G1500" s="6">
        <f>E1500+F1500</f>
        <v/>
      </c>
      <c r="H1500" s="10" t="n">
        <v>13</v>
      </c>
      <c r="I1500" s="7">
        <f>H1500/(180*0.714)</f>
        <v/>
      </c>
    </row>
    <row r="1501">
      <c r="A1501" s="4" t="inlineStr">
        <is>
          <t>SERV-11497</t>
        </is>
      </c>
      <c r="B1501" s="5" t="inlineStr">
        <is>
          <t>Técnico de Enfermagem / Agente de Saúde</t>
        </is>
      </c>
      <c r="C1501" s="4" t="inlineStr">
        <is>
          <t>Efetivo Concursado</t>
        </is>
      </c>
      <c r="D1501" s="4" t="inlineStr">
        <is>
          <t>SEC-SAU</t>
        </is>
      </c>
      <c r="E1501" s="6" t="n">
        <v>4255.45</v>
      </c>
      <c r="F1501" s="6">
        <f>E1501*0.22</f>
        <v/>
      </c>
      <c r="G1501" s="6">
        <f>E1501+F1501</f>
        <v/>
      </c>
      <c r="H1501" s="10" t="n">
        <v>5</v>
      </c>
      <c r="I1501" s="7">
        <f>H1501/(180*0.714)</f>
        <v/>
      </c>
    </row>
    <row r="1502">
      <c r="A1502" s="4" t="inlineStr">
        <is>
          <t>SERV-11498</t>
        </is>
      </c>
      <c r="B1502" s="5" t="inlineStr">
        <is>
          <t>Técnico de Enfermagem / Agente de Saúde</t>
        </is>
      </c>
      <c r="C1502" s="4" t="inlineStr">
        <is>
          <t>Efetivo Concursado</t>
        </is>
      </c>
      <c r="D1502" s="4" t="inlineStr">
        <is>
          <t>SEC-SAU</t>
        </is>
      </c>
      <c r="E1502" s="6" t="n">
        <v>4233.53</v>
      </c>
      <c r="F1502" s="6">
        <f>E1502*0.22</f>
        <v/>
      </c>
      <c r="G1502" s="6">
        <f>E1502+F1502</f>
        <v/>
      </c>
      <c r="H1502" s="10" t="n">
        <v>6</v>
      </c>
      <c r="I1502" s="7">
        <f>H1502/(180*0.714)</f>
        <v/>
      </c>
    </row>
    <row r="1503">
      <c r="A1503" s="4" t="inlineStr">
        <is>
          <t>SERV-11499</t>
        </is>
      </c>
      <c r="B1503" s="5" t="inlineStr">
        <is>
          <t>Técnico de Enfermagem / Agente de Saúde</t>
        </is>
      </c>
      <c r="C1503" s="4" t="inlineStr">
        <is>
          <t>Efetivo Concursado</t>
        </is>
      </c>
      <c r="D1503" s="4" t="inlineStr">
        <is>
          <t>SEC-SAU</t>
        </is>
      </c>
      <c r="E1503" s="6" t="n">
        <v>4032.29</v>
      </c>
      <c r="F1503" s="6">
        <f>E1503*0.22</f>
        <v/>
      </c>
      <c r="G1503" s="6">
        <f>E1503+F1503</f>
        <v/>
      </c>
      <c r="H1503" s="10" t="n">
        <v>6</v>
      </c>
      <c r="I1503" s="7">
        <f>H1503/(180*0.714)</f>
        <v/>
      </c>
    </row>
    <row r="1504">
      <c r="A1504" s="4" t="inlineStr">
        <is>
          <t>SERV-11500</t>
        </is>
      </c>
      <c r="B1504" s="5" t="inlineStr">
        <is>
          <t>Técnico de Enfermagem / Agente de Saúde</t>
        </is>
      </c>
      <c r="C1504" s="4" t="inlineStr">
        <is>
          <t>Efetivo Concursado</t>
        </is>
      </c>
      <c r="D1504" s="4" t="inlineStr">
        <is>
          <t>SEC-SAU</t>
        </is>
      </c>
      <c r="E1504" s="6" t="n">
        <v>3950.14</v>
      </c>
      <c r="F1504" s="6">
        <f>E1504*0.22</f>
        <v/>
      </c>
      <c r="G1504" s="6">
        <f>E1504+F1504</f>
        <v/>
      </c>
      <c r="H1504" s="10" t="n">
        <v>13</v>
      </c>
      <c r="I1504" s="7">
        <f>H1504/(180*0.714)</f>
        <v/>
      </c>
    </row>
    <row r="1505">
      <c r="A1505" s="4" t="inlineStr">
        <is>
          <t>SERV-11501</t>
        </is>
      </c>
      <c r="B1505" s="5" t="inlineStr">
        <is>
          <t>Técnico de Enfermagem / Agente de Saúde</t>
        </is>
      </c>
      <c r="C1505" s="4" t="inlineStr">
        <is>
          <t>Efetivo Concursado</t>
        </is>
      </c>
      <c r="D1505" s="4" t="inlineStr">
        <is>
          <t>SEC-SAU</t>
        </is>
      </c>
      <c r="E1505" s="6" t="n">
        <v>4201.45</v>
      </c>
      <c r="F1505" s="6">
        <f>E1505*0.22</f>
        <v/>
      </c>
      <c r="G1505" s="6">
        <f>E1505+F1505</f>
        <v/>
      </c>
      <c r="H1505" s="10" t="n">
        <v>4</v>
      </c>
      <c r="I1505" s="7">
        <f>H1505/(180*0.714)</f>
        <v/>
      </c>
    </row>
    <row r="1506">
      <c r="A1506" s="4" t="inlineStr">
        <is>
          <t>SERV-11502</t>
        </is>
      </c>
      <c r="B1506" s="5" t="inlineStr">
        <is>
          <t>Técnico de Enfermagem / Agente de Saúde</t>
        </is>
      </c>
      <c r="C1506" s="4" t="inlineStr">
        <is>
          <t>Efetivo Concursado</t>
        </is>
      </c>
      <c r="D1506" s="4" t="inlineStr">
        <is>
          <t>SEC-SAU</t>
        </is>
      </c>
      <c r="E1506" s="6" t="n">
        <v>3761.84</v>
      </c>
      <c r="F1506" s="6">
        <f>E1506*0.22</f>
        <v/>
      </c>
      <c r="G1506" s="6">
        <f>E1506+F1506</f>
        <v/>
      </c>
      <c r="H1506" s="10" t="n">
        <v>13</v>
      </c>
      <c r="I1506" s="7">
        <f>H1506/(180*0.714)</f>
        <v/>
      </c>
    </row>
    <row r="1507">
      <c r="A1507" s="4" t="inlineStr">
        <is>
          <t>SERV-11503</t>
        </is>
      </c>
      <c r="B1507" s="5" t="inlineStr">
        <is>
          <t>Técnico de Enfermagem / Agente de Saúde</t>
        </is>
      </c>
      <c r="C1507" s="4" t="inlineStr">
        <is>
          <t>Efetivo Concursado</t>
        </is>
      </c>
      <c r="D1507" s="4" t="inlineStr">
        <is>
          <t>SEC-SAU</t>
        </is>
      </c>
      <c r="E1507" s="6" t="n">
        <v>4039.84</v>
      </c>
      <c r="F1507" s="6">
        <f>E1507*0.22</f>
        <v/>
      </c>
      <c r="G1507" s="6">
        <f>E1507+F1507</f>
        <v/>
      </c>
      <c r="H1507" s="10" t="n">
        <v>6</v>
      </c>
      <c r="I1507" s="7">
        <f>H1507/(180*0.714)</f>
        <v/>
      </c>
    </row>
    <row r="1508">
      <c r="A1508" s="4" t="inlineStr">
        <is>
          <t>SERV-11504</t>
        </is>
      </c>
      <c r="B1508" s="5" t="inlineStr">
        <is>
          <t>Técnico de Enfermagem / Agente de Saúde</t>
        </is>
      </c>
      <c r="C1508" s="4" t="inlineStr">
        <is>
          <t>Efetivo Concursado</t>
        </is>
      </c>
      <c r="D1508" s="4" t="inlineStr">
        <is>
          <t>SEC-SAU</t>
        </is>
      </c>
      <c r="E1508" s="6" t="n">
        <v>3745.56</v>
      </c>
      <c r="F1508" s="6">
        <f>E1508*0.22</f>
        <v/>
      </c>
      <c r="G1508" s="6">
        <f>E1508+F1508</f>
        <v/>
      </c>
      <c r="H1508" s="10" t="n">
        <v>7</v>
      </c>
      <c r="I1508" s="7">
        <f>H1508/(180*0.714)</f>
        <v/>
      </c>
    </row>
    <row r="1509">
      <c r="A1509" s="4" t="inlineStr">
        <is>
          <t>SERV-11505</t>
        </is>
      </c>
      <c r="B1509" s="5" t="inlineStr">
        <is>
          <t>Técnico de Enfermagem / Agente de Saúde</t>
        </is>
      </c>
      <c r="C1509" s="4" t="inlineStr">
        <is>
          <t>Efetivo Concursado</t>
        </is>
      </c>
      <c r="D1509" s="4" t="inlineStr">
        <is>
          <t>SEC-SAU</t>
        </is>
      </c>
      <c r="E1509" s="6" t="n">
        <v>4107.8</v>
      </c>
      <c r="F1509" s="6">
        <f>E1509*0.22</f>
        <v/>
      </c>
      <c r="G1509" s="6">
        <f>E1509+F1509</f>
        <v/>
      </c>
      <c r="H1509" s="10" t="n">
        <v>8</v>
      </c>
      <c r="I1509" s="7">
        <f>H1509/(180*0.714)</f>
        <v/>
      </c>
    </row>
    <row r="1510">
      <c r="A1510" s="4" t="inlineStr">
        <is>
          <t>SERV-11506</t>
        </is>
      </c>
      <c r="B1510" s="5" t="inlineStr">
        <is>
          <t>Técnico de Enfermagem / Agente de Saúde</t>
        </is>
      </c>
      <c r="C1510" s="4" t="inlineStr">
        <is>
          <t>Efetivo Concursado</t>
        </is>
      </c>
      <c r="D1510" s="4" t="inlineStr">
        <is>
          <t>SEC-SAU</t>
        </is>
      </c>
      <c r="E1510" s="6" t="n">
        <v>4241.76</v>
      </c>
      <c r="F1510" s="6">
        <f>E1510*0.22</f>
        <v/>
      </c>
      <c r="G1510" s="6">
        <f>E1510+F1510</f>
        <v/>
      </c>
      <c r="H1510" s="10" t="n">
        <v>9</v>
      </c>
      <c r="I1510" s="7">
        <f>H1510/(180*0.714)</f>
        <v/>
      </c>
    </row>
    <row r="1511">
      <c r="A1511" s="4" t="inlineStr">
        <is>
          <t>SERV-11507</t>
        </is>
      </c>
      <c r="B1511" s="5" t="inlineStr">
        <is>
          <t>Técnico de Enfermagem / Agente de Saúde</t>
        </is>
      </c>
      <c r="C1511" s="4" t="inlineStr">
        <is>
          <t>Efetivo Concursado</t>
        </is>
      </c>
      <c r="D1511" s="4" t="inlineStr">
        <is>
          <t>SEC-SAU</t>
        </is>
      </c>
      <c r="E1511" s="6" t="n">
        <v>3825.13</v>
      </c>
      <c r="F1511" s="6">
        <f>E1511*0.22</f>
        <v/>
      </c>
      <c r="G1511" s="6">
        <f>E1511+F1511</f>
        <v/>
      </c>
      <c r="H1511" s="10" t="n">
        <v>6</v>
      </c>
      <c r="I1511" s="7">
        <f>H1511/(180*0.714)</f>
        <v/>
      </c>
    </row>
    <row r="1512">
      <c r="A1512" s="4" t="inlineStr">
        <is>
          <t>SERV-11508</t>
        </is>
      </c>
      <c r="B1512" s="5" t="inlineStr">
        <is>
          <t>Técnico de Enfermagem / Agente de Saúde</t>
        </is>
      </c>
      <c r="C1512" s="4" t="inlineStr">
        <is>
          <t>Efetivo Concursado</t>
        </is>
      </c>
      <c r="D1512" s="4" t="inlineStr">
        <is>
          <t>SEC-SAU</t>
        </is>
      </c>
      <c r="E1512" s="6" t="n">
        <v>4226.8</v>
      </c>
      <c r="F1512" s="6">
        <f>E1512*0.22</f>
        <v/>
      </c>
      <c r="G1512" s="6">
        <f>E1512+F1512</f>
        <v/>
      </c>
      <c r="H1512" s="10" t="n">
        <v>7</v>
      </c>
      <c r="I1512" s="7">
        <f>H1512/(180*0.714)</f>
        <v/>
      </c>
    </row>
    <row r="1513">
      <c r="A1513" s="4" t="inlineStr">
        <is>
          <t>SERV-11509</t>
        </is>
      </c>
      <c r="B1513" s="5" t="inlineStr">
        <is>
          <t>Técnico de Enfermagem / Agente de Saúde</t>
        </is>
      </c>
      <c r="C1513" s="4" t="inlineStr">
        <is>
          <t>Efetivo Concursado</t>
        </is>
      </c>
      <c r="D1513" s="4" t="inlineStr">
        <is>
          <t>SEC-SAU</t>
        </is>
      </c>
      <c r="E1513" s="6" t="n">
        <v>4034.15</v>
      </c>
      <c r="F1513" s="6">
        <f>E1513*0.22</f>
        <v/>
      </c>
      <c r="G1513" s="6">
        <f>E1513+F1513</f>
        <v/>
      </c>
      <c r="H1513" s="10" t="n">
        <v>7</v>
      </c>
      <c r="I1513" s="7">
        <f>H1513/(180*0.714)</f>
        <v/>
      </c>
    </row>
    <row r="1514">
      <c r="A1514" s="4" t="inlineStr">
        <is>
          <t>SERV-11510</t>
        </is>
      </c>
      <c r="B1514" s="5" t="inlineStr">
        <is>
          <t>Técnico de Enfermagem / Agente de Saúde</t>
        </is>
      </c>
      <c r="C1514" s="4" t="inlineStr">
        <is>
          <t>Efetivo Concursado</t>
        </is>
      </c>
      <c r="D1514" s="4" t="inlineStr">
        <is>
          <t>SEC-SAU</t>
        </is>
      </c>
      <c r="E1514" s="6" t="n">
        <v>3703.26</v>
      </c>
      <c r="F1514" s="6">
        <f>E1514*0.22</f>
        <v/>
      </c>
      <c r="G1514" s="6">
        <f>E1514+F1514</f>
        <v/>
      </c>
      <c r="H1514" s="10" t="n">
        <v>3</v>
      </c>
      <c r="I1514" s="7">
        <f>H1514/(180*0.714)</f>
        <v/>
      </c>
    </row>
    <row r="1515">
      <c r="A1515" s="4" t="inlineStr">
        <is>
          <t>SERV-11511</t>
        </is>
      </c>
      <c r="B1515" s="5" t="inlineStr">
        <is>
          <t>Técnico de Enfermagem / Agente de Saúde</t>
        </is>
      </c>
      <c r="C1515" s="4" t="inlineStr">
        <is>
          <t>Efetivo Concursado</t>
        </is>
      </c>
      <c r="D1515" s="4" t="inlineStr">
        <is>
          <t>SEC-SAU</t>
        </is>
      </c>
      <c r="E1515" s="6" t="n">
        <v>3537.21</v>
      </c>
      <c r="F1515" s="6">
        <f>E1515*0.22</f>
        <v/>
      </c>
      <c r="G1515" s="6">
        <f>E1515+F1515</f>
        <v/>
      </c>
      <c r="H1515" s="10" t="n">
        <v>10</v>
      </c>
      <c r="I1515" s="7">
        <f>H1515/(180*0.714)</f>
        <v/>
      </c>
    </row>
    <row r="1516">
      <c r="A1516" s="4" t="inlineStr">
        <is>
          <t>SERV-11512</t>
        </is>
      </c>
      <c r="B1516" s="5" t="inlineStr">
        <is>
          <t>Técnico de Enfermagem / Agente de Saúde</t>
        </is>
      </c>
      <c r="C1516" s="4" t="inlineStr">
        <is>
          <t>Efetivo Concursado</t>
        </is>
      </c>
      <c r="D1516" s="4" t="inlineStr">
        <is>
          <t>SEC-SAU</t>
        </is>
      </c>
      <c r="E1516" s="6" t="n">
        <v>4190.69</v>
      </c>
      <c r="F1516" s="6">
        <f>E1516*0.22</f>
        <v/>
      </c>
      <c r="G1516" s="6">
        <f>E1516+F1516</f>
        <v/>
      </c>
      <c r="H1516" s="10" t="n">
        <v>3</v>
      </c>
      <c r="I1516" s="7">
        <f>H1516/(180*0.714)</f>
        <v/>
      </c>
    </row>
    <row r="1517">
      <c r="A1517" s="4" t="inlineStr">
        <is>
          <t>SERV-11513</t>
        </is>
      </c>
      <c r="B1517" s="5" t="inlineStr">
        <is>
          <t>Técnico de Enfermagem / Agente de Saúde</t>
        </is>
      </c>
      <c r="C1517" s="4" t="inlineStr">
        <is>
          <t>Efetivo Concursado</t>
        </is>
      </c>
      <c r="D1517" s="4" t="inlineStr">
        <is>
          <t>SEC-SAU</t>
        </is>
      </c>
      <c r="E1517" s="6" t="n">
        <v>3623.27</v>
      </c>
      <c r="F1517" s="6">
        <f>E1517*0.22</f>
        <v/>
      </c>
      <c r="G1517" s="6">
        <f>E1517+F1517</f>
        <v/>
      </c>
      <c r="H1517" s="10" t="n">
        <v>9</v>
      </c>
      <c r="I1517" s="7">
        <f>H1517/(180*0.714)</f>
        <v/>
      </c>
    </row>
    <row r="1518">
      <c r="A1518" s="4" t="inlineStr">
        <is>
          <t>SERV-11514</t>
        </is>
      </c>
      <c r="B1518" s="5" t="inlineStr">
        <is>
          <t>Técnico de Enfermagem / Agente de Saúde</t>
        </is>
      </c>
      <c r="C1518" s="4" t="inlineStr">
        <is>
          <t>Efetivo Concursado</t>
        </is>
      </c>
      <c r="D1518" s="4" t="inlineStr">
        <is>
          <t>SEC-SAU</t>
        </is>
      </c>
      <c r="E1518" s="6" t="n">
        <v>4179.23</v>
      </c>
      <c r="F1518" s="6">
        <f>E1518*0.22</f>
        <v/>
      </c>
      <c r="G1518" s="6">
        <f>E1518+F1518</f>
        <v/>
      </c>
      <c r="H1518" s="10" t="n">
        <v>12</v>
      </c>
      <c r="I1518" s="7">
        <f>H1518/(180*0.714)</f>
        <v/>
      </c>
    </row>
    <row r="1519">
      <c r="A1519" s="4" t="inlineStr">
        <is>
          <t>SERV-11515</t>
        </is>
      </c>
      <c r="B1519" s="5" t="inlineStr">
        <is>
          <t>Técnico de Enfermagem / Agente de Saúde</t>
        </is>
      </c>
      <c r="C1519" s="4" t="inlineStr">
        <is>
          <t>Efetivo Concursado</t>
        </is>
      </c>
      <c r="D1519" s="4" t="inlineStr">
        <is>
          <t>SEC-SAU</t>
        </is>
      </c>
      <c r="E1519" s="6" t="n">
        <v>4058.24</v>
      </c>
      <c r="F1519" s="6">
        <f>E1519*0.22</f>
        <v/>
      </c>
      <c r="G1519" s="6">
        <f>E1519+F1519</f>
        <v/>
      </c>
      <c r="H1519" s="10" t="n">
        <v>3</v>
      </c>
      <c r="I1519" s="7">
        <f>H1519/(180*0.714)</f>
        <v/>
      </c>
    </row>
    <row r="1520">
      <c r="A1520" s="4" t="inlineStr">
        <is>
          <t>SERV-11516</t>
        </is>
      </c>
      <c r="B1520" s="5" t="inlineStr">
        <is>
          <t>Técnico de Enfermagem / Agente de Saúde</t>
        </is>
      </c>
      <c r="C1520" s="4" t="inlineStr">
        <is>
          <t>Efetivo Concursado</t>
        </is>
      </c>
      <c r="D1520" s="4" t="inlineStr">
        <is>
          <t>SEC-SAU</t>
        </is>
      </c>
      <c r="E1520" s="6" t="n">
        <v>3665.82</v>
      </c>
      <c r="F1520" s="6">
        <f>E1520*0.22</f>
        <v/>
      </c>
      <c r="G1520" s="6">
        <f>E1520+F1520</f>
        <v/>
      </c>
      <c r="H1520" s="10" t="n">
        <v>12</v>
      </c>
      <c r="I1520" s="7">
        <f>H1520/(180*0.714)</f>
        <v/>
      </c>
    </row>
    <row r="1521">
      <c r="A1521" s="4" t="inlineStr">
        <is>
          <t>SERV-11517</t>
        </is>
      </c>
      <c r="B1521" s="5" t="inlineStr">
        <is>
          <t>Técnico de Enfermagem / Agente de Saúde</t>
        </is>
      </c>
      <c r="C1521" s="4" t="inlineStr">
        <is>
          <t>Efetivo Concursado</t>
        </is>
      </c>
      <c r="D1521" s="4" t="inlineStr">
        <is>
          <t>SEC-SAU</t>
        </is>
      </c>
      <c r="E1521" s="6" t="n">
        <v>3688.36</v>
      </c>
      <c r="F1521" s="6">
        <f>E1521*0.22</f>
        <v/>
      </c>
      <c r="G1521" s="6">
        <f>E1521+F1521</f>
        <v/>
      </c>
      <c r="H1521" s="10" t="n">
        <v>4</v>
      </c>
      <c r="I1521" s="7">
        <f>H1521/(180*0.714)</f>
        <v/>
      </c>
    </row>
    <row r="1522">
      <c r="A1522" s="4" t="inlineStr">
        <is>
          <t>SERV-11518</t>
        </is>
      </c>
      <c r="B1522" s="5" t="inlineStr">
        <is>
          <t>Técnico de Enfermagem / Agente de Saúde</t>
        </is>
      </c>
      <c r="C1522" s="4" t="inlineStr">
        <is>
          <t>Efetivo Concursado</t>
        </is>
      </c>
      <c r="D1522" s="4" t="inlineStr">
        <is>
          <t>SEC-SAU</t>
        </is>
      </c>
      <c r="E1522" s="6" t="n">
        <v>4020.58</v>
      </c>
      <c r="F1522" s="6">
        <f>E1522*0.22</f>
        <v/>
      </c>
      <c r="G1522" s="6">
        <f>E1522+F1522</f>
        <v/>
      </c>
      <c r="H1522" s="10" t="n">
        <v>11</v>
      </c>
      <c r="I1522" s="7">
        <f>H1522/(180*0.714)</f>
        <v/>
      </c>
    </row>
    <row r="1523">
      <c r="A1523" s="4" t="inlineStr">
        <is>
          <t>SERV-11519</t>
        </is>
      </c>
      <c r="B1523" s="5" t="inlineStr">
        <is>
          <t>Técnico de Enfermagem / Agente de Saúde</t>
        </is>
      </c>
      <c r="C1523" s="4" t="inlineStr">
        <is>
          <t>Efetivo Concursado</t>
        </is>
      </c>
      <c r="D1523" s="4" t="inlineStr">
        <is>
          <t>SEC-SAU</t>
        </is>
      </c>
      <c r="E1523" s="6" t="n">
        <v>3941.55</v>
      </c>
      <c r="F1523" s="6">
        <f>E1523*0.22</f>
        <v/>
      </c>
      <c r="G1523" s="6">
        <f>E1523+F1523</f>
        <v/>
      </c>
      <c r="H1523" s="10" t="n">
        <v>10</v>
      </c>
      <c r="I1523" s="7">
        <f>H1523/(180*0.714)</f>
        <v/>
      </c>
    </row>
    <row r="1524">
      <c r="A1524" s="4" t="inlineStr">
        <is>
          <t>SERV-11520</t>
        </is>
      </c>
      <c r="B1524" s="5" t="inlineStr">
        <is>
          <t>Técnico de Enfermagem / Agente de Saúde</t>
        </is>
      </c>
      <c r="C1524" s="4" t="inlineStr">
        <is>
          <t>Efetivo Concursado</t>
        </is>
      </c>
      <c r="D1524" s="4" t="inlineStr">
        <is>
          <t>SEC-SAU</t>
        </is>
      </c>
      <c r="E1524" s="6" t="n">
        <v>4141.01</v>
      </c>
      <c r="F1524" s="6">
        <f>E1524*0.22</f>
        <v/>
      </c>
      <c r="G1524" s="6">
        <f>E1524+F1524</f>
        <v/>
      </c>
      <c r="H1524" s="10" t="n">
        <v>8</v>
      </c>
      <c r="I1524" s="7">
        <f>H1524/(180*0.714)</f>
        <v/>
      </c>
    </row>
    <row r="1525">
      <c r="A1525" s="4" t="inlineStr">
        <is>
          <t>SERV-11521</t>
        </is>
      </c>
      <c r="B1525" s="5" t="inlineStr">
        <is>
          <t>Técnico de Enfermagem / Agente de Saúde</t>
        </is>
      </c>
      <c r="C1525" s="4" t="inlineStr">
        <is>
          <t>Efetivo Concursado</t>
        </is>
      </c>
      <c r="D1525" s="4" t="inlineStr">
        <is>
          <t>SEC-SAU</t>
        </is>
      </c>
      <c r="E1525" s="6" t="n">
        <v>3976.1</v>
      </c>
      <c r="F1525" s="6">
        <f>E1525*0.22</f>
        <v/>
      </c>
      <c r="G1525" s="6">
        <f>E1525+F1525</f>
        <v/>
      </c>
      <c r="H1525" s="10" t="n">
        <v>9</v>
      </c>
      <c r="I1525" s="7">
        <f>H1525/(180*0.714)</f>
        <v/>
      </c>
    </row>
    <row r="1526">
      <c r="A1526" s="4" t="inlineStr">
        <is>
          <t>SERV-11522</t>
        </is>
      </c>
      <c r="B1526" s="5" t="inlineStr">
        <is>
          <t>Técnico de Enfermagem / Agente de Saúde</t>
        </is>
      </c>
      <c r="C1526" s="4" t="inlineStr">
        <is>
          <t>Efetivo Concursado</t>
        </is>
      </c>
      <c r="D1526" s="4" t="inlineStr">
        <is>
          <t>SEC-SAU</t>
        </is>
      </c>
      <c r="E1526" s="6" t="n">
        <v>3933.31</v>
      </c>
      <c r="F1526" s="6">
        <f>E1526*0.22</f>
        <v/>
      </c>
      <c r="G1526" s="6">
        <f>E1526+F1526</f>
        <v/>
      </c>
      <c r="H1526" s="10" t="n">
        <v>12</v>
      </c>
      <c r="I1526" s="7">
        <f>H1526/(180*0.714)</f>
        <v/>
      </c>
    </row>
    <row r="1527">
      <c r="A1527" s="4" t="inlineStr">
        <is>
          <t>SERV-11523</t>
        </is>
      </c>
      <c r="B1527" s="5" t="inlineStr">
        <is>
          <t>Técnico de Enfermagem / Agente de Saúde</t>
        </is>
      </c>
      <c r="C1527" s="4" t="inlineStr">
        <is>
          <t>Efetivo Concursado</t>
        </is>
      </c>
      <c r="D1527" s="4" t="inlineStr">
        <is>
          <t>SEC-SAU</t>
        </is>
      </c>
      <c r="E1527" s="6" t="n">
        <v>4201.73</v>
      </c>
      <c r="F1527" s="6">
        <f>E1527*0.22</f>
        <v/>
      </c>
      <c r="G1527" s="6">
        <f>E1527+F1527</f>
        <v/>
      </c>
      <c r="H1527" s="10" t="n">
        <v>7</v>
      </c>
      <c r="I1527" s="7">
        <f>H1527/(180*0.714)</f>
        <v/>
      </c>
    </row>
    <row r="1528">
      <c r="A1528" s="4" t="inlineStr">
        <is>
          <t>SERV-11524</t>
        </is>
      </c>
      <c r="B1528" s="5" t="inlineStr">
        <is>
          <t>Técnico de Enfermagem / Agente de Saúde</t>
        </is>
      </c>
      <c r="C1528" s="4" t="inlineStr">
        <is>
          <t>Efetivo Concursado</t>
        </is>
      </c>
      <c r="D1528" s="4" t="inlineStr">
        <is>
          <t>SEC-SAU</t>
        </is>
      </c>
      <c r="E1528" s="6" t="n">
        <v>3830.48</v>
      </c>
      <c r="F1528" s="6">
        <f>E1528*0.22</f>
        <v/>
      </c>
      <c r="G1528" s="6">
        <f>E1528+F1528</f>
        <v/>
      </c>
      <c r="H1528" s="10" t="n">
        <v>10</v>
      </c>
      <c r="I1528" s="7">
        <f>H1528/(180*0.714)</f>
        <v/>
      </c>
    </row>
    <row r="1529">
      <c r="A1529" s="4" t="inlineStr">
        <is>
          <t>SERV-11525</t>
        </is>
      </c>
      <c r="B1529" s="5" t="inlineStr">
        <is>
          <t>Técnico de Enfermagem / Agente de Saúde</t>
        </is>
      </c>
      <c r="C1529" s="4" t="inlineStr">
        <is>
          <t>Efetivo Concursado</t>
        </is>
      </c>
      <c r="D1529" s="4" t="inlineStr">
        <is>
          <t>SEC-SAU</t>
        </is>
      </c>
      <c r="E1529" s="6" t="n">
        <v>4210.21</v>
      </c>
      <c r="F1529" s="6">
        <f>E1529*0.22</f>
        <v/>
      </c>
      <c r="G1529" s="6">
        <f>E1529+F1529</f>
        <v/>
      </c>
      <c r="H1529" s="10" t="n">
        <v>10</v>
      </c>
      <c r="I1529" s="7">
        <f>H1529/(180*0.714)</f>
        <v/>
      </c>
    </row>
    <row r="1530">
      <c r="A1530" s="4" t="inlineStr">
        <is>
          <t>SERV-11526</t>
        </is>
      </c>
      <c r="B1530" s="5" t="inlineStr">
        <is>
          <t>Técnico de Enfermagem / Agente de Saúde</t>
        </is>
      </c>
      <c r="C1530" s="4" t="inlineStr">
        <is>
          <t>Efetivo Concursado</t>
        </is>
      </c>
      <c r="D1530" s="4" t="inlineStr">
        <is>
          <t>SEC-SAU</t>
        </is>
      </c>
      <c r="E1530" s="6" t="n">
        <v>4215.38</v>
      </c>
      <c r="F1530" s="6">
        <f>E1530*0.22</f>
        <v/>
      </c>
      <c r="G1530" s="6">
        <f>E1530+F1530</f>
        <v/>
      </c>
      <c r="H1530" s="10" t="n">
        <v>4</v>
      </c>
      <c r="I1530" s="7">
        <f>H1530/(180*0.714)</f>
        <v/>
      </c>
    </row>
    <row r="1531">
      <c r="A1531" s="4" t="inlineStr">
        <is>
          <t>SERV-11527</t>
        </is>
      </c>
      <c r="B1531" s="5" t="inlineStr">
        <is>
          <t>Técnico de Enfermagem / Agente de Saúde</t>
        </is>
      </c>
      <c r="C1531" s="4" t="inlineStr">
        <is>
          <t>Efetivo Concursado</t>
        </is>
      </c>
      <c r="D1531" s="4" t="inlineStr">
        <is>
          <t>SEC-SAU</t>
        </is>
      </c>
      <c r="E1531" s="6" t="n">
        <v>3563.85</v>
      </c>
      <c r="F1531" s="6">
        <f>E1531*0.22</f>
        <v/>
      </c>
      <c r="G1531" s="6">
        <f>E1531+F1531</f>
        <v/>
      </c>
      <c r="H1531" s="10" t="n">
        <v>3</v>
      </c>
      <c r="I1531" s="7">
        <f>H1531/(180*0.714)</f>
        <v/>
      </c>
    </row>
    <row r="1532">
      <c r="A1532" s="4" t="inlineStr">
        <is>
          <t>SERV-11528</t>
        </is>
      </c>
      <c r="B1532" s="5" t="inlineStr">
        <is>
          <t>Técnico de Enfermagem / Agente de Saúde</t>
        </is>
      </c>
      <c r="C1532" s="4" t="inlineStr">
        <is>
          <t>Efetivo Concursado</t>
        </is>
      </c>
      <c r="D1532" s="4" t="inlineStr">
        <is>
          <t>SEC-SAU</t>
        </is>
      </c>
      <c r="E1532" s="6" t="n">
        <v>3618.38</v>
      </c>
      <c r="F1532" s="6">
        <f>E1532*0.22</f>
        <v/>
      </c>
      <c r="G1532" s="6">
        <f>E1532+F1532</f>
        <v/>
      </c>
      <c r="H1532" s="10" t="n">
        <v>8</v>
      </c>
      <c r="I1532" s="7">
        <f>H1532/(180*0.714)</f>
        <v/>
      </c>
    </row>
    <row r="1533">
      <c r="A1533" s="4" t="inlineStr">
        <is>
          <t>SERV-11529</t>
        </is>
      </c>
      <c r="B1533" s="5" t="inlineStr">
        <is>
          <t>Técnico de Enfermagem / Agente de Saúde</t>
        </is>
      </c>
      <c r="C1533" s="4" t="inlineStr">
        <is>
          <t>Efetivo Concursado</t>
        </is>
      </c>
      <c r="D1533" s="4" t="inlineStr">
        <is>
          <t>SEC-SAU</t>
        </is>
      </c>
      <c r="E1533" s="6" t="n">
        <v>3963.23</v>
      </c>
      <c r="F1533" s="6">
        <f>E1533*0.22</f>
        <v/>
      </c>
      <c r="G1533" s="6">
        <f>E1533+F1533</f>
        <v/>
      </c>
      <c r="H1533" s="10" t="n">
        <v>12</v>
      </c>
      <c r="I1533" s="7">
        <f>H1533/(180*0.714)</f>
        <v/>
      </c>
    </row>
    <row r="1534">
      <c r="A1534" s="4" t="inlineStr">
        <is>
          <t>SERV-11530</t>
        </is>
      </c>
      <c r="B1534" s="5" t="inlineStr">
        <is>
          <t>Técnico de Enfermagem / Agente de Saúde</t>
        </is>
      </c>
      <c r="C1534" s="4" t="inlineStr">
        <is>
          <t>Efetivo Concursado</t>
        </is>
      </c>
      <c r="D1534" s="4" t="inlineStr">
        <is>
          <t>SEC-SAU</t>
        </is>
      </c>
      <c r="E1534" s="6" t="n">
        <v>4139.22</v>
      </c>
      <c r="F1534" s="6">
        <f>E1534*0.22</f>
        <v/>
      </c>
      <c r="G1534" s="6">
        <f>E1534+F1534</f>
        <v/>
      </c>
      <c r="H1534" s="10" t="n">
        <v>5</v>
      </c>
      <c r="I1534" s="7">
        <f>H1534/(180*0.714)</f>
        <v/>
      </c>
    </row>
    <row r="1535">
      <c r="A1535" s="4" t="inlineStr">
        <is>
          <t>SERV-11531</t>
        </is>
      </c>
      <c r="B1535" s="5" t="inlineStr">
        <is>
          <t>Técnico de Enfermagem / Agente de Saúde</t>
        </is>
      </c>
      <c r="C1535" s="4" t="inlineStr">
        <is>
          <t>Efetivo Concursado</t>
        </is>
      </c>
      <c r="D1535" s="4" t="inlineStr">
        <is>
          <t>SEC-SAU</t>
        </is>
      </c>
      <c r="E1535" s="6" t="n">
        <v>3523.12</v>
      </c>
      <c r="F1535" s="6">
        <f>E1535*0.22</f>
        <v/>
      </c>
      <c r="G1535" s="6">
        <f>E1535+F1535</f>
        <v/>
      </c>
      <c r="H1535" s="10" t="n">
        <v>12</v>
      </c>
      <c r="I1535" s="7">
        <f>H1535/(180*0.714)</f>
        <v/>
      </c>
    </row>
    <row r="1536">
      <c r="A1536" s="4" t="inlineStr">
        <is>
          <t>SERV-11532</t>
        </is>
      </c>
      <c r="B1536" s="5" t="inlineStr">
        <is>
          <t>Técnico de Enfermagem / Agente de Saúde</t>
        </is>
      </c>
      <c r="C1536" s="4" t="inlineStr">
        <is>
          <t>Efetivo Concursado</t>
        </is>
      </c>
      <c r="D1536" s="4" t="inlineStr">
        <is>
          <t>SEC-SAU</t>
        </is>
      </c>
      <c r="E1536" s="6" t="n">
        <v>3605.57</v>
      </c>
      <c r="F1536" s="6">
        <f>E1536*0.22</f>
        <v/>
      </c>
      <c r="G1536" s="6">
        <f>E1536+F1536</f>
        <v/>
      </c>
      <c r="H1536" s="10" t="n">
        <v>3</v>
      </c>
      <c r="I1536" s="7">
        <f>H1536/(180*0.714)</f>
        <v/>
      </c>
    </row>
    <row r="1537">
      <c r="A1537" s="4" t="inlineStr">
        <is>
          <t>SERV-11533</t>
        </is>
      </c>
      <c r="B1537" s="5" t="inlineStr">
        <is>
          <t>Técnico de Enfermagem / Agente de Saúde</t>
        </is>
      </c>
      <c r="C1537" s="4" t="inlineStr">
        <is>
          <t>Efetivo Concursado</t>
        </is>
      </c>
      <c r="D1537" s="4" t="inlineStr">
        <is>
          <t>SEC-SAU</t>
        </is>
      </c>
      <c r="E1537" s="6" t="n">
        <v>3891.56</v>
      </c>
      <c r="F1537" s="6">
        <f>E1537*0.22</f>
        <v/>
      </c>
      <c r="G1537" s="6">
        <f>E1537+F1537</f>
        <v/>
      </c>
      <c r="H1537" s="10" t="n">
        <v>13</v>
      </c>
      <c r="I1537" s="7">
        <f>H1537/(180*0.714)</f>
        <v/>
      </c>
    </row>
    <row r="1538">
      <c r="A1538" s="4" t="inlineStr">
        <is>
          <t>SERV-11534</t>
        </is>
      </c>
      <c r="B1538" s="5" t="inlineStr">
        <is>
          <t>Técnico de Enfermagem / Agente de Saúde</t>
        </is>
      </c>
      <c r="C1538" s="4" t="inlineStr">
        <is>
          <t>Efetivo Concursado</t>
        </is>
      </c>
      <c r="D1538" s="4" t="inlineStr">
        <is>
          <t>SEC-SAU</t>
        </is>
      </c>
      <c r="E1538" s="6" t="n">
        <v>3594.45</v>
      </c>
      <c r="F1538" s="6">
        <f>E1538*0.22</f>
        <v/>
      </c>
      <c r="G1538" s="6">
        <f>E1538+F1538</f>
        <v/>
      </c>
      <c r="H1538" s="10" t="n">
        <v>6</v>
      </c>
      <c r="I1538" s="7">
        <f>H1538/(180*0.714)</f>
        <v/>
      </c>
    </row>
    <row r="1539">
      <c r="A1539" s="4" t="inlineStr">
        <is>
          <t>SERV-11535</t>
        </is>
      </c>
      <c r="B1539" s="5" t="inlineStr">
        <is>
          <t>Técnico de Enfermagem / Agente de Saúde</t>
        </is>
      </c>
      <c r="C1539" s="4" t="inlineStr">
        <is>
          <t>Efetivo Concursado</t>
        </is>
      </c>
      <c r="D1539" s="4" t="inlineStr">
        <is>
          <t>SEC-SAU</t>
        </is>
      </c>
      <c r="E1539" s="6" t="n">
        <v>3648.28</v>
      </c>
      <c r="F1539" s="6">
        <f>E1539*0.22</f>
        <v/>
      </c>
      <c r="G1539" s="6">
        <f>E1539+F1539</f>
        <v/>
      </c>
      <c r="H1539" s="10" t="n">
        <v>5</v>
      </c>
      <c r="I1539" s="7">
        <f>H1539/(180*0.714)</f>
        <v/>
      </c>
    </row>
    <row r="1540">
      <c r="A1540" s="4" t="inlineStr">
        <is>
          <t>SERV-11536</t>
        </is>
      </c>
      <c r="B1540" s="5" t="inlineStr">
        <is>
          <t>Técnico de Enfermagem / Agente de Saúde</t>
        </is>
      </c>
      <c r="C1540" s="4" t="inlineStr">
        <is>
          <t>Efetivo Concursado</t>
        </is>
      </c>
      <c r="D1540" s="4" t="inlineStr">
        <is>
          <t>SEC-SAU</t>
        </is>
      </c>
      <c r="E1540" s="6" t="n">
        <v>3814.13</v>
      </c>
      <c r="F1540" s="6">
        <f>E1540*0.22</f>
        <v/>
      </c>
      <c r="G1540" s="6">
        <f>E1540+F1540</f>
        <v/>
      </c>
      <c r="H1540" s="10" t="n">
        <v>9</v>
      </c>
      <c r="I1540" s="7">
        <f>H1540/(180*0.714)</f>
        <v/>
      </c>
    </row>
    <row r="1541">
      <c r="A1541" s="4" t="inlineStr">
        <is>
          <t>SERV-11537</t>
        </is>
      </c>
      <c r="B1541" s="5" t="inlineStr">
        <is>
          <t>Técnico de Enfermagem / Agente de Saúde</t>
        </is>
      </c>
      <c r="C1541" s="4" t="inlineStr">
        <is>
          <t>Efetivo Concursado</t>
        </is>
      </c>
      <c r="D1541" s="4" t="inlineStr">
        <is>
          <t>SEC-SAU</t>
        </is>
      </c>
      <c r="E1541" s="6" t="n">
        <v>3574.22</v>
      </c>
      <c r="F1541" s="6">
        <f>E1541*0.22</f>
        <v/>
      </c>
      <c r="G1541" s="6">
        <f>E1541+F1541</f>
        <v/>
      </c>
      <c r="H1541" s="10" t="n">
        <v>12</v>
      </c>
      <c r="I1541" s="7">
        <f>H1541/(180*0.714)</f>
        <v/>
      </c>
    </row>
    <row r="1542">
      <c r="A1542" s="4" t="inlineStr">
        <is>
          <t>SERV-11538</t>
        </is>
      </c>
      <c r="B1542" s="5" t="inlineStr">
        <is>
          <t>Técnico de Enfermagem / Agente de Saúde</t>
        </is>
      </c>
      <c r="C1542" s="4" t="inlineStr">
        <is>
          <t>Efetivo Concursado</t>
        </is>
      </c>
      <c r="D1542" s="4" t="inlineStr">
        <is>
          <t>SEC-SAU</t>
        </is>
      </c>
      <c r="E1542" s="6" t="n">
        <v>3936.34</v>
      </c>
      <c r="F1542" s="6">
        <f>E1542*0.22</f>
        <v/>
      </c>
      <c r="G1542" s="6">
        <f>E1542+F1542</f>
        <v/>
      </c>
      <c r="H1542" s="10" t="n">
        <v>4</v>
      </c>
      <c r="I1542" s="7">
        <f>H1542/(180*0.714)</f>
        <v/>
      </c>
    </row>
    <row r="1543">
      <c r="A1543" s="4" t="inlineStr">
        <is>
          <t>SERV-11539</t>
        </is>
      </c>
      <c r="B1543" s="5" t="inlineStr">
        <is>
          <t>Técnico de Enfermagem / Agente de Saúde</t>
        </is>
      </c>
      <c r="C1543" s="4" t="inlineStr">
        <is>
          <t>Efetivo Concursado</t>
        </is>
      </c>
      <c r="D1543" s="4" t="inlineStr">
        <is>
          <t>SEC-SAU</t>
        </is>
      </c>
      <c r="E1543" s="6" t="n">
        <v>4186.22</v>
      </c>
      <c r="F1543" s="6">
        <f>E1543*0.22</f>
        <v/>
      </c>
      <c r="G1543" s="6">
        <f>E1543+F1543</f>
        <v/>
      </c>
      <c r="H1543" s="10" t="n">
        <v>13</v>
      </c>
      <c r="I1543" s="7">
        <f>H1543/(180*0.714)</f>
        <v/>
      </c>
    </row>
    <row r="1544">
      <c r="A1544" s="4" t="inlineStr">
        <is>
          <t>SERV-11540</t>
        </is>
      </c>
      <c r="B1544" s="5" t="inlineStr">
        <is>
          <t>Técnico de Enfermagem / Agente de Saúde</t>
        </is>
      </c>
      <c r="C1544" s="4" t="inlineStr">
        <is>
          <t>Efetivo Concursado</t>
        </is>
      </c>
      <c r="D1544" s="4" t="inlineStr">
        <is>
          <t>SEC-SAU</t>
        </is>
      </c>
      <c r="E1544" s="6" t="n">
        <v>3523.05</v>
      </c>
      <c r="F1544" s="6">
        <f>E1544*0.22</f>
        <v/>
      </c>
      <c r="G1544" s="6">
        <f>E1544+F1544</f>
        <v/>
      </c>
      <c r="H1544" s="10" t="n">
        <v>6</v>
      </c>
      <c r="I1544" s="7">
        <f>H1544/(180*0.714)</f>
        <v/>
      </c>
    </row>
    <row r="1545">
      <c r="A1545" s="4" t="inlineStr">
        <is>
          <t>SERV-11541</t>
        </is>
      </c>
      <c r="B1545" s="5" t="inlineStr">
        <is>
          <t>Técnico de Enfermagem / Agente de Saúde</t>
        </is>
      </c>
      <c r="C1545" s="4" t="inlineStr">
        <is>
          <t>Efetivo Concursado</t>
        </is>
      </c>
      <c r="D1545" s="4" t="inlineStr">
        <is>
          <t>SEC-SAU</t>
        </is>
      </c>
      <c r="E1545" s="6" t="n">
        <v>3841.97</v>
      </c>
      <c r="F1545" s="6">
        <f>E1545*0.22</f>
        <v/>
      </c>
      <c r="G1545" s="6">
        <f>E1545+F1545</f>
        <v/>
      </c>
      <c r="H1545" s="10" t="n">
        <v>9</v>
      </c>
      <c r="I1545" s="7">
        <f>H1545/(180*0.714)</f>
        <v/>
      </c>
    </row>
    <row r="1546">
      <c r="A1546" s="4" t="inlineStr">
        <is>
          <t>SERV-11542</t>
        </is>
      </c>
      <c r="B1546" s="5" t="inlineStr">
        <is>
          <t>Técnico de Enfermagem / Agente de Saúde</t>
        </is>
      </c>
      <c r="C1546" s="4" t="inlineStr">
        <is>
          <t>Efetivo Concursado</t>
        </is>
      </c>
      <c r="D1546" s="4" t="inlineStr">
        <is>
          <t>SEC-SAU</t>
        </is>
      </c>
      <c r="E1546" s="6" t="n">
        <v>3626.57</v>
      </c>
      <c r="F1546" s="6">
        <f>E1546*0.22</f>
        <v/>
      </c>
      <c r="G1546" s="6">
        <f>E1546+F1546</f>
        <v/>
      </c>
      <c r="H1546" s="10" t="n">
        <v>9</v>
      </c>
      <c r="I1546" s="7">
        <f>H1546/(180*0.714)</f>
        <v/>
      </c>
    </row>
    <row r="1547">
      <c r="A1547" s="4" t="inlineStr">
        <is>
          <t>SERV-11543</t>
        </is>
      </c>
      <c r="B1547" s="5" t="inlineStr">
        <is>
          <t>Técnico de Enfermagem / Agente de Saúde</t>
        </is>
      </c>
      <c r="C1547" s="4" t="inlineStr">
        <is>
          <t>Efetivo Concursado</t>
        </is>
      </c>
      <c r="D1547" s="4" t="inlineStr">
        <is>
          <t>SEC-SAU</t>
        </is>
      </c>
      <c r="E1547" s="6" t="n">
        <v>4128.08</v>
      </c>
      <c r="F1547" s="6">
        <f>E1547*0.22</f>
        <v/>
      </c>
      <c r="G1547" s="6">
        <f>E1547+F1547</f>
        <v/>
      </c>
      <c r="H1547" s="10" t="n">
        <v>4</v>
      </c>
      <c r="I1547" s="7">
        <f>H1547/(180*0.714)</f>
        <v/>
      </c>
    </row>
    <row r="1548">
      <c r="A1548" s="4" t="inlineStr">
        <is>
          <t>SERV-11544</t>
        </is>
      </c>
      <c r="B1548" s="5" t="inlineStr">
        <is>
          <t>Técnico de Enfermagem / Agente de Saúde</t>
        </is>
      </c>
      <c r="C1548" s="4" t="inlineStr">
        <is>
          <t>Efetivo Concursado</t>
        </is>
      </c>
      <c r="D1548" s="4" t="inlineStr">
        <is>
          <t>SEC-SAU</t>
        </is>
      </c>
      <c r="E1548" s="6" t="n">
        <v>3670.55</v>
      </c>
      <c r="F1548" s="6">
        <f>E1548*0.22</f>
        <v/>
      </c>
      <c r="G1548" s="6">
        <f>E1548+F1548</f>
        <v/>
      </c>
      <c r="H1548" s="10" t="n">
        <v>4</v>
      </c>
      <c r="I1548" s="7">
        <f>H1548/(180*0.714)</f>
        <v/>
      </c>
    </row>
    <row r="1549">
      <c r="A1549" s="4" t="inlineStr">
        <is>
          <t>SERV-11545</t>
        </is>
      </c>
      <c r="B1549" s="5" t="inlineStr">
        <is>
          <t>Técnico de Enfermagem / Agente de Saúde</t>
        </is>
      </c>
      <c r="C1549" s="4" t="inlineStr">
        <is>
          <t>Efetivo Concursado</t>
        </is>
      </c>
      <c r="D1549" s="4" t="inlineStr">
        <is>
          <t>SEC-SAU</t>
        </is>
      </c>
      <c r="E1549" s="6" t="n">
        <v>4201.2</v>
      </c>
      <c r="F1549" s="6">
        <f>E1549*0.22</f>
        <v/>
      </c>
      <c r="G1549" s="6">
        <f>E1549+F1549</f>
        <v/>
      </c>
      <c r="H1549" s="10" t="n">
        <v>7</v>
      </c>
      <c r="I1549" s="7">
        <f>H1549/(180*0.714)</f>
        <v/>
      </c>
    </row>
    <row r="1550">
      <c r="A1550" s="4" t="inlineStr">
        <is>
          <t>SERV-11546</t>
        </is>
      </c>
      <c r="B1550" s="5" t="inlineStr">
        <is>
          <t>Técnico de Enfermagem / Agente de Saúde</t>
        </is>
      </c>
      <c r="C1550" s="4" t="inlineStr">
        <is>
          <t>Efetivo Concursado</t>
        </is>
      </c>
      <c r="D1550" s="4" t="inlineStr">
        <is>
          <t>SEC-SAU</t>
        </is>
      </c>
      <c r="E1550" s="6" t="n">
        <v>4156.21</v>
      </c>
      <c r="F1550" s="6">
        <f>E1550*0.22</f>
        <v/>
      </c>
      <c r="G1550" s="6">
        <f>E1550+F1550</f>
        <v/>
      </c>
      <c r="H1550" s="10" t="n">
        <v>9</v>
      </c>
      <c r="I1550" s="7">
        <f>H1550/(180*0.714)</f>
        <v/>
      </c>
    </row>
    <row r="1551">
      <c r="A1551" s="4" t="inlineStr">
        <is>
          <t>SERV-11547</t>
        </is>
      </c>
      <c r="B1551" s="5" t="inlineStr">
        <is>
          <t>Técnico de Enfermagem / Agente de Saúde</t>
        </is>
      </c>
      <c r="C1551" s="4" t="inlineStr">
        <is>
          <t>Efetivo Concursado</t>
        </is>
      </c>
      <c r="D1551" s="4" t="inlineStr">
        <is>
          <t>SEC-SAU</t>
        </is>
      </c>
      <c r="E1551" s="6" t="n">
        <v>3641.7</v>
      </c>
      <c r="F1551" s="6">
        <f>E1551*0.22</f>
        <v/>
      </c>
      <c r="G1551" s="6">
        <f>E1551+F1551</f>
        <v/>
      </c>
      <c r="H1551" s="10" t="n">
        <v>7</v>
      </c>
      <c r="I1551" s="7">
        <f>H1551/(180*0.714)</f>
        <v/>
      </c>
    </row>
    <row r="1552">
      <c r="A1552" s="4" t="inlineStr">
        <is>
          <t>SERV-11548</t>
        </is>
      </c>
      <c r="B1552" s="5" t="inlineStr">
        <is>
          <t>Técnico de Enfermagem / Agente de Saúde</t>
        </is>
      </c>
      <c r="C1552" s="4" t="inlineStr">
        <is>
          <t>Efetivo Concursado</t>
        </is>
      </c>
      <c r="D1552" s="4" t="inlineStr">
        <is>
          <t>SEC-SAU</t>
        </is>
      </c>
      <c r="E1552" s="6" t="n">
        <v>3604.51</v>
      </c>
      <c r="F1552" s="6">
        <f>E1552*0.22</f>
        <v/>
      </c>
      <c r="G1552" s="6">
        <f>E1552+F1552</f>
        <v/>
      </c>
      <c r="H1552" s="10" t="n">
        <v>3</v>
      </c>
      <c r="I1552" s="7">
        <f>H1552/(180*0.714)</f>
        <v/>
      </c>
    </row>
    <row r="1553">
      <c r="A1553" s="4" t="inlineStr">
        <is>
          <t>SERV-11549</t>
        </is>
      </c>
      <c r="B1553" s="5" t="inlineStr">
        <is>
          <t>Técnico de Enfermagem / Agente de Saúde</t>
        </is>
      </c>
      <c r="C1553" s="4" t="inlineStr">
        <is>
          <t>Efetivo Concursado</t>
        </is>
      </c>
      <c r="D1553" s="4" t="inlineStr">
        <is>
          <t>SEC-SAU</t>
        </is>
      </c>
      <c r="E1553" s="6" t="n">
        <v>3604.59</v>
      </c>
      <c r="F1553" s="6">
        <f>E1553*0.22</f>
        <v/>
      </c>
      <c r="G1553" s="6">
        <f>E1553+F1553</f>
        <v/>
      </c>
      <c r="H1553" s="10" t="n">
        <v>6</v>
      </c>
      <c r="I1553" s="7">
        <f>H1553/(180*0.714)</f>
        <v/>
      </c>
    </row>
    <row r="1554">
      <c r="A1554" s="4" t="inlineStr">
        <is>
          <t>SERV-11550</t>
        </is>
      </c>
      <c r="B1554" s="5" t="inlineStr">
        <is>
          <t>Técnico de Enfermagem / Agente de Saúde</t>
        </is>
      </c>
      <c r="C1554" s="4" t="inlineStr">
        <is>
          <t>Efetivo Concursado</t>
        </is>
      </c>
      <c r="D1554" s="4" t="inlineStr">
        <is>
          <t>SEC-SAU</t>
        </is>
      </c>
      <c r="E1554" s="6" t="n">
        <v>3898.41</v>
      </c>
      <c r="F1554" s="6">
        <f>E1554*0.22</f>
        <v/>
      </c>
      <c r="G1554" s="6">
        <f>E1554+F1554</f>
        <v/>
      </c>
      <c r="H1554" s="10" t="n">
        <v>10</v>
      </c>
      <c r="I1554" s="7">
        <f>H1554/(180*0.714)</f>
        <v/>
      </c>
    </row>
    <row r="1555">
      <c r="A1555" s="4" t="inlineStr">
        <is>
          <t>SERV-11551</t>
        </is>
      </c>
      <c r="B1555" s="5" t="inlineStr">
        <is>
          <t>Técnico de Enfermagem / Agente de Saúde</t>
        </is>
      </c>
      <c r="C1555" s="4" t="inlineStr">
        <is>
          <t>Efetivo Concursado</t>
        </is>
      </c>
      <c r="D1555" s="4" t="inlineStr">
        <is>
          <t>SEC-SAU</t>
        </is>
      </c>
      <c r="E1555" s="6" t="n">
        <v>3813.62</v>
      </c>
      <c r="F1555" s="6">
        <f>E1555*0.22</f>
        <v/>
      </c>
      <c r="G1555" s="6">
        <f>E1555+F1555</f>
        <v/>
      </c>
      <c r="H1555" s="10" t="n">
        <v>3</v>
      </c>
      <c r="I1555" s="7">
        <f>H1555/(180*0.714)</f>
        <v/>
      </c>
    </row>
    <row r="1556">
      <c r="A1556" s="4" t="inlineStr">
        <is>
          <t>SERV-11552</t>
        </is>
      </c>
      <c r="B1556" s="5" t="inlineStr">
        <is>
          <t>Técnico de Enfermagem / Agente de Saúde</t>
        </is>
      </c>
      <c r="C1556" s="4" t="inlineStr">
        <is>
          <t>Efetivo Concursado</t>
        </is>
      </c>
      <c r="D1556" s="4" t="inlineStr">
        <is>
          <t>SEC-SAU</t>
        </is>
      </c>
      <c r="E1556" s="6" t="n">
        <v>4215.65</v>
      </c>
      <c r="F1556" s="6">
        <f>E1556*0.22</f>
        <v/>
      </c>
      <c r="G1556" s="6">
        <f>E1556+F1556</f>
        <v/>
      </c>
      <c r="H1556" s="10" t="n">
        <v>3</v>
      </c>
      <c r="I1556" s="7">
        <f>H1556/(180*0.714)</f>
        <v/>
      </c>
    </row>
    <row r="1557">
      <c r="A1557" s="4" t="inlineStr">
        <is>
          <t>SERV-11553</t>
        </is>
      </c>
      <c r="B1557" s="5" t="inlineStr">
        <is>
          <t>Técnico de Enfermagem / Agente de Saúde</t>
        </is>
      </c>
      <c r="C1557" s="4" t="inlineStr">
        <is>
          <t>Efetivo Concursado</t>
        </is>
      </c>
      <c r="D1557" s="4" t="inlineStr">
        <is>
          <t>SEC-SAU</t>
        </is>
      </c>
      <c r="E1557" s="6" t="n">
        <v>3521.73</v>
      </c>
      <c r="F1557" s="6">
        <f>E1557*0.22</f>
        <v/>
      </c>
      <c r="G1557" s="6">
        <f>E1557+F1557</f>
        <v/>
      </c>
      <c r="H1557" s="10" t="n">
        <v>3</v>
      </c>
      <c r="I1557" s="7">
        <f>H1557/(180*0.714)</f>
        <v/>
      </c>
    </row>
    <row r="1558">
      <c r="A1558" s="4" t="inlineStr">
        <is>
          <t>SERV-11554</t>
        </is>
      </c>
      <c r="B1558" s="5" t="inlineStr">
        <is>
          <t>Técnico de Enfermagem / Agente de Saúde</t>
        </is>
      </c>
      <c r="C1558" s="4" t="inlineStr">
        <is>
          <t>Efetivo Concursado</t>
        </is>
      </c>
      <c r="D1558" s="4" t="inlineStr">
        <is>
          <t>SEC-SAU</t>
        </is>
      </c>
      <c r="E1558" s="6" t="n">
        <v>4069.11</v>
      </c>
      <c r="F1558" s="6">
        <f>E1558*0.22</f>
        <v/>
      </c>
      <c r="G1558" s="6">
        <f>E1558+F1558</f>
        <v/>
      </c>
      <c r="H1558" s="10" t="n">
        <v>13</v>
      </c>
      <c r="I1558" s="7">
        <f>H1558/(180*0.714)</f>
        <v/>
      </c>
    </row>
    <row r="1559">
      <c r="A1559" s="4" t="inlineStr">
        <is>
          <t>SERV-11555</t>
        </is>
      </c>
      <c r="B1559" s="5" t="inlineStr">
        <is>
          <t>Técnico de Enfermagem / Agente de Saúde</t>
        </is>
      </c>
      <c r="C1559" s="4" t="inlineStr">
        <is>
          <t>Efetivo Concursado</t>
        </is>
      </c>
      <c r="D1559" s="4" t="inlineStr">
        <is>
          <t>SEC-SAU</t>
        </is>
      </c>
      <c r="E1559" s="6" t="n">
        <v>3587.47</v>
      </c>
      <c r="F1559" s="6">
        <f>E1559*0.22</f>
        <v/>
      </c>
      <c r="G1559" s="6">
        <f>E1559+F1559</f>
        <v/>
      </c>
      <c r="H1559" s="10" t="n">
        <v>3</v>
      </c>
      <c r="I1559" s="7">
        <f>H1559/(180*0.714)</f>
        <v/>
      </c>
    </row>
    <row r="1560">
      <c r="A1560" s="4" t="inlineStr">
        <is>
          <t>SERV-11556</t>
        </is>
      </c>
      <c r="B1560" s="5" t="inlineStr">
        <is>
          <t>Técnico de Enfermagem / Agente de Saúde</t>
        </is>
      </c>
      <c r="C1560" s="4" t="inlineStr">
        <is>
          <t>Efetivo Concursado</t>
        </is>
      </c>
      <c r="D1560" s="4" t="inlineStr">
        <is>
          <t>SEC-SAU</t>
        </is>
      </c>
      <c r="E1560" s="6" t="n">
        <v>3578.84</v>
      </c>
      <c r="F1560" s="6">
        <f>E1560*0.22</f>
        <v/>
      </c>
      <c r="G1560" s="6">
        <f>E1560+F1560</f>
        <v/>
      </c>
      <c r="H1560" s="10" t="n">
        <v>5</v>
      </c>
      <c r="I1560" s="7">
        <f>H1560/(180*0.714)</f>
        <v/>
      </c>
    </row>
    <row r="1561">
      <c r="A1561" s="4" t="inlineStr">
        <is>
          <t>SERV-11557</t>
        </is>
      </c>
      <c r="B1561" s="5" t="inlineStr">
        <is>
          <t>Técnico de Enfermagem / Agente de Saúde</t>
        </is>
      </c>
      <c r="C1561" s="4" t="inlineStr">
        <is>
          <t>Efetivo Concursado</t>
        </is>
      </c>
      <c r="D1561" s="4" t="inlineStr">
        <is>
          <t>SEC-SAU</t>
        </is>
      </c>
      <c r="E1561" s="6" t="n">
        <v>3843.4</v>
      </c>
      <c r="F1561" s="6">
        <f>E1561*0.22</f>
        <v/>
      </c>
      <c r="G1561" s="6">
        <f>E1561+F1561</f>
        <v/>
      </c>
      <c r="H1561" s="10" t="n">
        <v>4</v>
      </c>
      <c r="I1561" s="7">
        <f>H1561/(180*0.714)</f>
        <v/>
      </c>
    </row>
    <row r="1562">
      <c r="A1562" s="4" t="inlineStr">
        <is>
          <t>SERV-11558</t>
        </is>
      </c>
      <c r="B1562" s="5" t="inlineStr">
        <is>
          <t>Técnico de Enfermagem / Agente de Saúde</t>
        </is>
      </c>
      <c r="C1562" s="4" t="inlineStr">
        <is>
          <t>Efetivo Concursado</t>
        </is>
      </c>
      <c r="D1562" s="4" t="inlineStr">
        <is>
          <t>SEC-SAU</t>
        </is>
      </c>
      <c r="E1562" s="6" t="n">
        <v>3572.69</v>
      </c>
      <c r="F1562" s="6">
        <f>E1562*0.22</f>
        <v/>
      </c>
      <c r="G1562" s="6">
        <f>E1562+F1562</f>
        <v/>
      </c>
      <c r="H1562" s="10" t="n">
        <v>9</v>
      </c>
      <c r="I1562" s="7">
        <f>H1562/(180*0.714)</f>
        <v/>
      </c>
    </row>
    <row r="1563">
      <c r="A1563" s="4" t="inlineStr">
        <is>
          <t>SERV-11559</t>
        </is>
      </c>
      <c r="B1563" s="5" t="inlineStr">
        <is>
          <t>Técnico de Enfermagem / Agente de Saúde</t>
        </is>
      </c>
      <c r="C1563" s="4" t="inlineStr">
        <is>
          <t>Efetivo Concursado</t>
        </is>
      </c>
      <c r="D1563" s="4" t="inlineStr">
        <is>
          <t>SEC-SAU</t>
        </is>
      </c>
      <c r="E1563" s="6" t="n">
        <v>4025.72</v>
      </c>
      <c r="F1563" s="6">
        <f>E1563*0.22</f>
        <v/>
      </c>
      <c r="G1563" s="6">
        <f>E1563+F1563</f>
        <v/>
      </c>
      <c r="H1563" s="10" t="n">
        <v>4</v>
      </c>
      <c r="I1563" s="7">
        <f>H1563/(180*0.714)</f>
        <v/>
      </c>
    </row>
    <row r="1564">
      <c r="A1564" s="4" t="inlineStr">
        <is>
          <t>SERV-11560</t>
        </is>
      </c>
      <c r="B1564" s="5" t="inlineStr">
        <is>
          <t>Técnico de Enfermagem / Agente de Saúde</t>
        </is>
      </c>
      <c r="C1564" s="4" t="inlineStr">
        <is>
          <t>Efetivo Concursado</t>
        </is>
      </c>
      <c r="D1564" s="4" t="inlineStr">
        <is>
          <t>SEC-SAU</t>
        </is>
      </c>
      <c r="E1564" s="6" t="n">
        <v>4246.4</v>
      </c>
      <c r="F1564" s="6">
        <f>E1564*0.22</f>
        <v/>
      </c>
      <c r="G1564" s="6">
        <f>E1564+F1564</f>
        <v/>
      </c>
      <c r="H1564" s="10" t="n">
        <v>3</v>
      </c>
      <c r="I1564" s="7">
        <f>H1564/(180*0.714)</f>
        <v/>
      </c>
    </row>
    <row r="1565">
      <c r="A1565" s="4" t="inlineStr">
        <is>
          <t>SERV-11561</t>
        </is>
      </c>
      <c r="B1565" s="5" t="inlineStr">
        <is>
          <t>Técnico de Enfermagem / Agente de Saúde</t>
        </is>
      </c>
      <c r="C1565" s="4" t="inlineStr">
        <is>
          <t>Efetivo Concursado</t>
        </is>
      </c>
      <c r="D1565" s="4" t="inlineStr">
        <is>
          <t>SEC-SAU</t>
        </is>
      </c>
      <c r="E1565" s="6" t="n">
        <v>3723.75</v>
      </c>
      <c r="F1565" s="6">
        <f>E1565*0.22</f>
        <v/>
      </c>
      <c r="G1565" s="6">
        <f>E1565+F1565</f>
        <v/>
      </c>
      <c r="H1565" s="10" t="n">
        <v>7</v>
      </c>
      <c r="I1565" s="7">
        <f>H1565/(180*0.714)</f>
        <v/>
      </c>
    </row>
    <row r="1566">
      <c r="A1566" s="4" t="inlineStr">
        <is>
          <t>SERV-11562</t>
        </is>
      </c>
      <c r="B1566" s="5" t="inlineStr">
        <is>
          <t>Técnico de Enfermagem / Agente de Saúde</t>
        </is>
      </c>
      <c r="C1566" s="4" t="inlineStr">
        <is>
          <t>Efetivo Concursado</t>
        </is>
      </c>
      <c r="D1566" s="4" t="inlineStr">
        <is>
          <t>SEC-SAU</t>
        </is>
      </c>
      <c r="E1566" s="6" t="n">
        <v>3805.23</v>
      </c>
      <c r="F1566" s="6">
        <f>E1566*0.22</f>
        <v/>
      </c>
      <c r="G1566" s="6">
        <f>E1566+F1566</f>
        <v/>
      </c>
      <c r="H1566" s="10" t="n">
        <v>10</v>
      </c>
      <c r="I1566" s="7">
        <f>H1566/(180*0.714)</f>
        <v/>
      </c>
    </row>
    <row r="1567">
      <c r="A1567" s="4" t="inlineStr">
        <is>
          <t>SERV-11563</t>
        </is>
      </c>
      <c r="B1567" s="5" t="inlineStr">
        <is>
          <t>Técnico de Enfermagem / Agente de Saúde</t>
        </is>
      </c>
      <c r="C1567" s="4" t="inlineStr">
        <is>
          <t>Efetivo Concursado</t>
        </is>
      </c>
      <c r="D1567" s="4" t="inlineStr">
        <is>
          <t>SEC-SAU</t>
        </is>
      </c>
      <c r="E1567" s="6" t="n">
        <v>3719.75</v>
      </c>
      <c r="F1567" s="6">
        <f>E1567*0.22</f>
        <v/>
      </c>
      <c r="G1567" s="6">
        <f>E1567+F1567</f>
        <v/>
      </c>
      <c r="H1567" s="10" t="n">
        <v>4</v>
      </c>
      <c r="I1567" s="7">
        <f>H1567/(180*0.714)</f>
        <v/>
      </c>
    </row>
    <row r="1568">
      <c r="A1568" s="4" t="inlineStr">
        <is>
          <t>SERV-11564</t>
        </is>
      </c>
      <c r="B1568" s="5" t="inlineStr">
        <is>
          <t>Técnico de Enfermagem / Agente de Saúde</t>
        </is>
      </c>
      <c r="C1568" s="4" t="inlineStr">
        <is>
          <t>Efetivo Concursado</t>
        </is>
      </c>
      <c r="D1568" s="4" t="inlineStr">
        <is>
          <t>SEC-SAU</t>
        </is>
      </c>
      <c r="E1568" s="6" t="n">
        <v>3545.11</v>
      </c>
      <c r="F1568" s="6">
        <f>E1568*0.22</f>
        <v/>
      </c>
      <c r="G1568" s="6">
        <f>E1568+F1568</f>
        <v/>
      </c>
      <c r="H1568" s="10" t="n">
        <v>10</v>
      </c>
      <c r="I1568" s="7">
        <f>H1568/(180*0.714)</f>
        <v/>
      </c>
    </row>
    <row r="1569">
      <c r="A1569" s="4" t="inlineStr">
        <is>
          <t>SERV-11565</t>
        </is>
      </c>
      <c r="B1569" s="5" t="inlineStr">
        <is>
          <t>Técnico de Enfermagem / Agente de Saúde</t>
        </is>
      </c>
      <c r="C1569" s="4" t="inlineStr">
        <is>
          <t>Efetivo Concursado</t>
        </is>
      </c>
      <c r="D1569" s="4" t="inlineStr">
        <is>
          <t>SEC-SAU</t>
        </is>
      </c>
      <c r="E1569" s="6" t="n">
        <v>3633.01</v>
      </c>
      <c r="F1569" s="6">
        <f>E1569*0.22</f>
        <v/>
      </c>
      <c r="G1569" s="6">
        <f>E1569+F1569</f>
        <v/>
      </c>
      <c r="H1569" s="10" t="n">
        <v>5</v>
      </c>
      <c r="I1569" s="7">
        <f>H1569/(180*0.714)</f>
        <v/>
      </c>
    </row>
    <row r="1570">
      <c r="A1570" s="4" t="inlineStr">
        <is>
          <t>SERV-11566</t>
        </is>
      </c>
      <c r="B1570" s="5" t="inlineStr">
        <is>
          <t>Técnico de Enfermagem / Agente de Saúde</t>
        </is>
      </c>
      <c r="C1570" s="4" t="inlineStr">
        <is>
          <t>Efetivo Concursado</t>
        </is>
      </c>
      <c r="D1570" s="4" t="inlineStr">
        <is>
          <t>SEC-SAU</t>
        </is>
      </c>
      <c r="E1570" s="6" t="n">
        <v>4149.83</v>
      </c>
      <c r="F1570" s="6">
        <f>E1570*0.22</f>
        <v/>
      </c>
      <c r="G1570" s="6">
        <f>E1570+F1570</f>
        <v/>
      </c>
      <c r="H1570" s="10" t="n">
        <v>3</v>
      </c>
      <c r="I1570" s="7">
        <f>H1570/(180*0.714)</f>
        <v/>
      </c>
    </row>
    <row r="1571">
      <c r="A1571" s="4" t="inlineStr">
        <is>
          <t>SERV-11567</t>
        </is>
      </c>
      <c r="B1571" s="5" t="inlineStr">
        <is>
          <t>Técnico de Enfermagem / Agente de Saúde</t>
        </is>
      </c>
      <c r="C1571" s="4" t="inlineStr">
        <is>
          <t>Efetivo Concursado</t>
        </is>
      </c>
      <c r="D1571" s="4" t="inlineStr">
        <is>
          <t>SEC-SAU</t>
        </is>
      </c>
      <c r="E1571" s="6" t="n">
        <v>4085.57</v>
      </c>
      <c r="F1571" s="6">
        <f>E1571*0.22</f>
        <v/>
      </c>
      <c r="G1571" s="6">
        <f>E1571+F1571</f>
        <v/>
      </c>
      <c r="H1571" s="10" t="n">
        <v>8</v>
      </c>
      <c r="I1571" s="7">
        <f>H1571/(180*0.714)</f>
        <v/>
      </c>
    </row>
    <row r="1572">
      <c r="A1572" s="4" t="inlineStr">
        <is>
          <t>SERV-11568</t>
        </is>
      </c>
      <c r="B1572" s="5" t="inlineStr">
        <is>
          <t>Técnico de Enfermagem / Agente de Saúde</t>
        </is>
      </c>
      <c r="C1572" s="4" t="inlineStr">
        <is>
          <t>Efetivo Concursado</t>
        </is>
      </c>
      <c r="D1572" s="4" t="inlineStr">
        <is>
          <t>SEC-SAU</t>
        </is>
      </c>
      <c r="E1572" s="6" t="n">
        <v>3767.42</v>
      </c>
      <c r="F1572" s="6">
        <f>E1572*0.22</f>
        <v/>
      </c>
      <c r="G1572" s="6">
        <f>E1572+F1572</f>
        <v/>
      </c>
      <c r="H1572" s="10" t="n">
        <v>4</v>
      </c>
      <c r="I1572" s="7">
        <f>H1572/(180*0.714)</f>
        <v/>
      </c>
    </row>
    <row r="1573">
      <c r="A1573" s="4" t="inlineStr">
        <is>
          <t>SERV-11569</t>
        </is>
      </c>
      <c r="B1573" s="5" t="inlineStr">
        <is>
          <t>Técnico de Enfermagem / Agente de Saúde</t>
        </is>
      </c>
      <c r="C1573" s="4" t="inlineStr">
        <is>
          <t>Efetivo Concursado</t>
        </is>
      </c>
      <c r="D1573" s="4" t="inlineStr">
        <is>
          <t>SEC-SAU</t>
        </is>
      </c>
      <c r="E1573" s="6" t="n">
        <v>3711.06</v>
      </c>
      <c r="F1573" s="6">
        <f>E1573*0.22</f>
        <v/>
      </c>
      <c r="G1573" s="6">
        <f>E1573+F1573</f>
        <v/>
      </c>
      <c r="H1573" s="10" t="n">
        <v>3</v>
      </c>
      <c r="I1573" s="7">
        <f>H1573/(180*0.714)</f>
        <v/>
      </c>
    </row>
    <row r="1574">
      <c r="A1574" s="4" t="inlineStr">
        <is>
          <t>SERV-11570</t>
        </is>
      </c>
      <c r="B1574" s="5" t="inlineStr">
        <is>
          <t>Técnico de Enfermagem / Agente de Saúde</t>
        </is>
      </c>
      <c r="C1574" s="4" t="inlineStr">
        <is>
          <t>Efetivo Concursado</t>
        </is>
      </c>
      <c r="D1574" s="4" t="inlineStr">
        <is>
          <t>SEC-SAU</t>
        </is>
      </c>
      <c r="E1574" s="6" t="n">
        <v>4227.26</v>
      </c>
      <c r="F1574" s="6">
        <f>E1574*0.22</f>
        <v/>
      </c>
      <c r="G1574" s="6">
        <f>E1574+F1574</f>
        <v/>
      </c>
      <c r="H1574" s="10" t="n">
        <v>5</v>
      </c>
      <c r="I1574" s="7">
        <f>H1574/(180*0.714)</f>
        <v/>
      </c>
    </row>
    <row r="1575">
      <c r="A1575" s="4" t="inlineStr">
        <is>
          <t>SERV-11571</t>
        </is>
      </c>
      <c r="B1575" s="5" t="inlineStr">
        <is>
          <t>Técnico de Enfermagem / Agente de Saúde</t>
        </is>
      </c>
      <c r="C1575" s="4" t="inlineStr">
        <is>
          <t>Efetivo Concursado</t>
        </is>
      </c>
      <c r="D1575" s="4" t="inlineStr">
        <is>
          <t>SEC-SAU</t>
        </is>
      </c>
      <c r="E1575" s="6" t="n">
        <v>3931.69</v>
      </c>
      <c r="F1575" s="6">
        <f>E1575*0.22</f>
        <v/>
      </c>
      <c r="G1575" s="6">
        <f>E1575+F1575</f>
        <v/>
      </c>
      <c r="H1575" s="10" t="n">
        <v>3</v>
      </c>
      <c r="I1575" s="7">
        <f>H1575/(180*0.714)</f>
        <v/>
      </c>
    </row>
    <row r="1576">
      <c r="A1576" s="4" t="inlineStr">
        <is>
          <t>SERV-11572</t>
        </is>
      </c>
      <c r="B1576" s="5" t="inlineStr">
        <is>
          <t>Técnico de Enfermagem / Agente de Saúde</t>
        </is>
      </c>
      <c r="C1576" s="4" t="inlineStr">
        <is>
          <t>Efetivo Concursado</t>
        </is>
      </c>
      <c r="D1576" s="4" t="inlineStr">
        <is>
          <t>SEC-SAU</t>
        </is>
      </c>
      <c r="E1576" s="6" t="n">
        <v>3840.51</v>
      </c>
      <c r="F1576" s="6">
        <f>E1576*0.22</f>
        <v/>
      </c>
      <c r="G1576" s="6">
        <f>E1576+F1576</f>
        <v/>
      </c>
      <c r="H1576" s="10" t="n">
        <v>12</v>
      </c>
      <c r="I1576" s="7">
        <f>H1576/(180*0.714)</f>
        <v/>
      </c>
    </row>
    <row r="1577">
      <c r="A1577" s="4" t="inlineStr">
        <is>
          <t>SERV-11573</t>
        </is>
      </c>
      <c r="B1577" s="5" t="inlineStr">
        <is>
          <t>Técnico de Enfermagem / Agente de Saúde</t>
        </is>
      </c>
      <c r="C1577" s="4" t="inlineStr">
        <is>
          <t>Efetivo Concursado</t>
        </is>
      </c>
      <c r="D1577" s="4" t="inlineStr">
        <is>
          <t>SEC-SAU</t>
        </is>
      </c>
      <c r="E1577" s="6" t="n">
        <v>4190.43</v>
      </c>
      <c r="F1577" s="6">
        <f>E1577*0.22</f>
        <v/>
      </c>
      <c r="G1577" s="6">
        <f>E1577+F1577</f>
        <v/>
      </c>
      <c r="H1577" s="10" t="n">
        <v>11</v>
      </c>
      <c r="I1577" s="7">
        <f>H1577/(180*0.714)</f>
        <v/>
      </c>
    </row>
    <row r="1578">
      <c r="A1578" s="4" t="inlineStr">
        <is>
          <t>SERV-11574</t>
        </is>
      </c>
      <c r="B1578" s="5" t="inlineStr">
        <is>
          <t>Técnico de Enfermagem / Agente de Saúde</t>
        </is>
      </c>
      <c r="C1578" s="4" t="inlineStr">
        <is>
          <t>Efetivo Concursado</t>
        </is>
      </c>
      <c r="D1578" s="4" t="inlineStr">
        <is>
          <t>SEC-SAU</t>
        </is>
      </c>
      <c r="E1578" s="6" t="n">
        <v>3973.06</v>
      </c>
      <c r="F1578" s="6">
        <f>E1578*0.22</f>
        <v/>
      </c>
      <c r="G1578" s="6">
        <f>E1578+F1578</f>
        <v/>
      </c>
      <c r="H1578" s="10" t="n">
        <v>6</v>
      </c>
      <c r="I1578" s="7">
        <f>H1578/(180*0.714)</f>
        <v/>
      </c>
    </row>
    <row r="1579">
      <c r="A1579" s="4" t="inlineStr">
        <is>
          <t>SERV-11575</t>
        </is>
      </c>
      <c r="B1579" s="5" t="inlineStr">
        <is>
          <t>Técnico de Enfermagem / Agente de Saúde</t>
        </is>
      </c>
      <c r="C1579" s="4" t="inlineStr">
        <is>
          <t>Efetivo Concursado</t>
        </is>
      </c>
      <c r="D1579" s="4" t="inlineStr">
        <is>
          <t>SEC-SAU</t>
        </is>
      </c>
      <c r="E1579" s="6" t="n">
        <v>3670.48</v>
      </c>
      <c r="F1579" s="6">
        <f>E1579*0.22</f>
        <v/>
      </c>
      <c r="G1579" s="6">
        <f>E1579+F1579</f>
        <v/>
      </c>
      <c r="H1579" s="10" t="n">
        <v>8</v>
      </c>
      <c r="I1579" s="7">
        <f>H1579/(180*0.714)</f>
        <v/>
      </c>
    </row>
    <row r="1580">
      <c r="A1580" s="4" t="inlineStr">
        <is>
          <t>SERV-11576</t>
        </is>
      </c>
      <c r="B1580" s="5" t="inlineStr">
        <is>
          <t>Técnico de Enfermagem / Agente de Saúde</t>
        </is>
      </c>
      <c r="C1580" s="4" t="inlineStr">
        <is>
          <t>Efetivo Concursado</t>
        </is>
      </c>
      <c r="D1580" s="4" t="inlineStr">
        <is>
          <t>SEC-SAU</t>
        </is>
      </c>
      <c r="E1580" s="6" t="n">
        <v>3651.1</v>
      </c>
      <c r="F1580" s="6">
        <f>E1580*0.22</f>
        <v/>
      </c>
      <c r="G1580" s="6">
        <f>E1580+F1580</f>
        <v/>
      </c>
      <c r="H1580" s="10" t="n">
        <v>13</v>
      </c>
      <c r="I1580" s="7">
        <f>H1580/(180*0.714)</f>
        <v/>
      </c>
    </row>
    <row r="1581">
      <c r="A1581" s="4" t="inlineStr">
        <is>
          <t>SERV-11577</t>
        </is>
      </c>
      <c r="B1581" s="5" t="inlineStr">
        <is>
          <t>Técnico de Enfermagem / Agente de Saúde</t>
        </is>
      </c>
      <c r="C1581" s="4" t="inlineStr">
        <is>
          <t>Efetivo Concursado</t>
        </is>
      </c>
      <c r="D1581" s="4" t="inlineStr">
        <is>
          <t>SEC-SAU</t>
        </is>
      </c>
      <c r="E1581" s="6" t="n">
        <v>3792.65</v>
      </c>
      <c r="F1581" s="6">
        <f>E1581*0.22</f>
        <v/>
      </c>
      <c r="G1581" s="6">
        <f>E1581+F1581</f>
        <v/>
      </c>
      <c r="H1581" s="10" t="n">
        <v>5</v>
      </c>
      <c r="I1581" s="7">
        <f>H1581/(180*0.714)</f>
        <v/>
      </c>
    </row>
    <row r="1582">
      <c r="A1582" s="4" t="inlineStr">
        <is>
          <t>SERV-11578</t>
        </is>
      </c>
      <c r="B1582" s="5" t="inlineStr">
        <is>
          <t>Técnico de Enfermagem / Agente de Saúde</t>
        </is>
      </c>
      <c r="C1582" s="4" t="inlineStr">
        <is>
          <t>Efetivo Concursado</t>
        </is>
      </c>
      <c r="D1582" s="4" t="inlineStr">
        <is>
          <t>SEC-SAU</t>
        </is>
      </c>
      <c r="E1582" s="6" t="n">
        <v>3888.37</v>
      </c>
      <c r="F1582" s="6">
        <f>E1582*0.22</f>
        <v/>
      </c>
      <c r="G1582" s="6">
        <f>E1582+F1582</f>
        <v/>
      </c>
      <c r="H1582" s="10" t="n">
        <v>9</v>
      </c>
      <c r="I1582" s="7">
        <f>H1582/(180*0.714)</f>
        <v/>
      </c>
    </row>
    <row r="1583">
      <c r="A1583" s="4" t="inlineStr">
        <is>
          <t>SERV-11579</t>
        </is>
      </c>
      <c r="B1583" s="5" t="inlineStr">
        <is>
          <t>Técnico de Enfermagem / Agente de Saúde</t>
        </is>
      </c>
      <c r="C1583" s="4" t="inlineStr">
        <is>
          <t>Efetivo Concursado</t>
        </is>
      </c>
      <c r="D1583" s="4" t="inlineStr">
        <is>
          <t>SEC-SAU</t>
        </is>
      </c>
      <c r="E1583" s="6" t="n">
        <v>4135.02</v>
      </c>
      <c r="F1583" s="6">
        <f>E1583*0.22</f>
        <v/>
      </c>
      <c r="G1583" s="6">
        <f>E1583+F1583</f>
        <v/>
      </c>
      <c r="H1583" s="10" t="n">
        <v>10</v>
      </c>
      <c r="I1583" s="7">
        <f>H1583/(180*0.714)</f>
        <v/>
      </c>
    </row>
    <row r="1584">
      <c r="A1584" s="4" t="inlineStr">
        <is>
          <t>SERV-11580</t>
        </is>
      </c>
      <c r="B1584" s="5" t="inlineStr">
        <is>
          <t>Técnico de Enfermagem / Agente de Saúde</t>
        </is>
      </c>
      <c r="C1584" s="4" t="inlineStr">
        <is>
          <t>Efetivo Concursado</t>
        </is>
      </c>
      <c r="D1584" s="4" t="inlineStr">
        <is>
          <t>SEC-SAU</t>
        </is>
      </c>
      <c r="E1584" s="6" t="n">
        <v>4007.31</v>
      </c>
      <c r="F1584" s="6">
        <f>E1584*0.22</f>
        <v/>
      </c>
      <c r="G1584" s="6">
        <f>E1584+F1584</f>
        <v/>
      </c>
      <c r="H1584" s="10" t="n">
        <v>8</v>
      </c>
      <c r="I1584" s="7">
        <f>H1584/(180*0.714)</f>
        <v/>
      </c>
    </row>
    <row r="1585">
      <c r="A1585" s="4" t="inlineStr">
        <is>
          <t>SERV-11581</t>
        </is>
      </c>
      <c r="B1585" s="5" t="inlineStr">
        <is>
          <t>Técnico de Enfermagem / Agente de Saúde</t>
        </is>
      </c>
      <c r="C1585" s="4" t="inlineStr">
        <is>
          <t>Efetivo Concursado</t>
        </is>
      </c>
      <c r="D1585" s="4" t="inlineStr">
        <is>
          <t>SEC-SAU</t>
        </is>
      </c>
      <c r="E1585" s="6" t="n">
        <v>3553.46</v>
      </c>
      <c r="F1585" s="6">
        <f>E1585*0.22</f>
        <v/>
      </c>
      <c r="G1585" s="6">
        <f>E1585+F1585</f>
        <v/>
      </c>
      <c r="H1585" s="10" t="n">
        <v>8</v>
      </c>
      <c r="I1585" s="7">
        <f>H1585/(180*0.714)</f>
        <v/>
      </c>
    </row>
    <row r="1586">
      <c r="A1586" s="4" t="inlineStr">
        <is>
          <t>SERV-11582</t>
        </is>
      </c>
      <c r="B1586" s="5" t="inlineStr">
        <is>
          <t>Técnico de Enfermagem / Agente de Saúde</t>
        </is>
      </c>
      <c r="C1586" s="4" t="inlineStr">
        <is>
          <t>Efetivo Concursado</t>
        </is>
      </c>
      <c r="D1586" s="4" t="inlineStr">
        <is>
          <t>SEC-SAU</t>
        </is>
      </c>
      <c r="E1586" s="6" t="n">
        <v>4176.89</v>
      </c>
      <c r="F1586" s="6">
        <f>E1586*0.22</f>
        <v/>
      </c>
      <c r="G1586" s="6">
        <f>E1586+F1586</f>
        <v/>
      </c>
      <c r="H1586" s="10" t="n">
        <v>7</v>
      </c>
      <c r="I1586" s="7">
        <f>H1586/(180*0.714)</f>
        <v/>
      </c>
    </row>
    <row r="1587">
      <c r="A1587" s="4" t="inlineStr">
        <is>
          <t>SERV-11583</t>
        </is>
      </c>
      <c r="B1587" s="5" t="inlineStr">
        <is>
          <t>Técnico de Enfermagem / Agente de Saúde</t>
        </is>
      </c>
      <c r="C1587" s="4" t="inlineStr">
        <is>
          <t>Efetivo Concursado</t>
        </is>
      </c>
      <c r="D1587" s="4" t="inlineStr">
        <is>
          <t>SEC-SAU</t>
        </is>
      </c>
      <c r="E1587" s="6" t="n">
        <v>3914.44</v>
      </c>
      <c r="F1587" s="6">
        <f>E1587*0.22</f>
        <v/>
      </c>
      <c r="G1587" s="6">
        <f>E1587+F1587</f>
        <v/>
      </c>
      <c r="H1587" s="10" t="n">
        <v>5</v>
      </c>
      <c r="I1587" s="7">
        <f>H1587/(180*0.714)</f>
        <v/>
      </c>
    </row>
    <row r="1588">
      <c r="A1588" s="4" t="inlineStr">
        <is>
          <t>SERV-11584</t>
        </is>
      </c>
      <c r="B1588" s="5" t="inlineStr">
        <is>
          <t>Técnico de Enfermagem / Agente de Saúde</t>
        </is>
      </c>
      <c r="C1588" s="4" t="inlineStr">
        <is>
          <t>Efetivo Concursado</t>
        </is>
      </c>
      <c r="D1588" s="4" t="inlineStr">
        <is>
          <t>SEC-SAU</t>
        </is>
      </c>
      <c r="E1588" s="6" t="n">
        <v>3947.3</v>
      </c>
      <c r="F1588" s="6">
        <f>E1588*0.22</f>
        <v/>
      </c>
      <c r="G1588" s="6">
        <f>E1588+F1588</f>
        <v/>
      </c>
      <c r="H1588" s="10" t="n">
        <v>4</v>
      </c>
      <c r="I1588" s="7">
        <f>H1588/(180*0.714)</f>
        <v/>
      </c>
    </row>
    <row r="1589">
      <c r="A1589" s="4" t="inlineStr">
        <is>
          <t>SERV-11585</t>
        </is>
      </c>
      <c r="B1589" s="5" t="inlineStr">
        <is>
          <t>Técnico de Enfermagem / Agente de Saúde</t>
        </is>
      </c>
      <c r="C1589" s="4" t="inlineStr">
        <is>
          <t>Efetivo Concursado</t>
        </is>
      </c>
      <c r="D1589" s="4" t="inlineStr">
        <is>
          <t>SEC-SAU</t>
        </is>
      </c>
      <c r="E1589" s="6" t="n">
        <v>3523.7</v>
      </c>
      <c r="F1589" s="6">
        <f>E1589*0.22</f>
        <v/>
      </c>
      <c r="G1589" s="6">
        <f>E1589+F1589</f>
        <v/>
      </c>
      <c r="H1589" s="10" t="n">
        <v>13</v>
      </c>
      <c r="I1589" s="7">
        <f>H1589/(180*0.714)</f>
        <v/>
      </c>
    </row>
    <row r="1590">
      <c r="A1590" s="4" t="inlineStr">
        <is>
          <t>SERV-11586</t>
        </is>
      </c>
      <c r="B1590" s="5" t="inlineStr">
        <is>
          <t>Técnico de Enfermagem / Agente de Saúde</t>
        </is>
      </c>
      <c r="C1590" s="4" t="inlineStr">
        <is>
          <t>Efetivo Concursado</t>
        </is>
      </c>
      <c r="D1590" s="4" t="inlineStr">
        <is>
          <t>SEC-SAU</t>
        </is>
      </c>
      <c r="E1590" s="6" t="n">
        <v>4093.07</v>
      </c>
      <c r="F1590" s="6">
        <f>E1590*0.22</f>
        <v/>
      </c>
      <c r="G1590" s="6">
        <f>E1590+F1590</f>
        <v/>
      </c>
      <c r="H1590" s="10" t="n">
        <v>13</v>
      </c>
      <c r="I1590" s="7">
        <f>H1590/(180*0.714)</f>
        <v/>
      </c>
    </row>
    <row r="1591">
      <c r="A1591" s="4" t="inlineStr">
        <is>
          <t>SERV-11587</t>
        </is>
      </c>
      <c r="B1591" s="5" t="inlineStr">
        <is>
          <t>Técnico de Enfermagem / Agente de Saúde</t>
        </is>
      </c>
      <c r="C1591" s="4" t="inlineStr">
        <is>
          <t>Efetivo Concursado</t>
        </is>
      </c>
      <c r="D1591" s="4" t="inlineStr">
        <is>
          <t>SEC-SAU</t>
        </is>
      </c>
      <c r="E1591" s="6" t="n">
        <v>4093.54</v>
      </c>
      <c r="F1591" s="6">
        <f>E1591*0.22</f>
        <v/>
      </c>
      <c r="G1591" s="6">
        <f>E1591+F1591</f>
        <v/>
      </c>
      <c r="H1591" s="10" t="n">
        <v>12</v>
      </c>
      <c r="I1591" s="7">
        <f>H1591/(180*0.714)</f>
        <v/>
      </c>
    </row>
    <row r="1592">
      <c r="A1592" s="4" t="inlineStr">
        <is>
          <t>SERV-11588</t>
        </is>
      </c>
      <c r="B1592" s="5" t="inlineStr">
        <is>
          <t>Técnico de Enfermagem / Agente de Saúde</t>
        </is>
      </c>
      <c r="C1592" s="4" t="inlineStr">
        <is>
          <t>Efetivo Concursado</t>
        </is>
      </c>
      <c r="D1592" s="4" t="inlineStr">
        <is>
          <t>SEC-SAU</t>
        </is>
      </c>
      <c r="E1592" s="6" t="n">
        <v>3690.92</v>
      </c>
      <c r="F1592" s="6">
        <f>E1592*0.22</f>
        <v/>
      </c>
      <c r="G1592" s="6">
        <f>E1592+F1592</f>
        <v/>
      </c>
      <c r="H1592" s="10" t="n">
        <v>11</v>
      </c>
      <c r="I1592" s="7">
        <f>H1592/(180*0.714)</f>
        <v/>
      </c>
    </row>
    <row r="1593">
      <c r="A1593" s="4" t="inlineStr">
        <is>
          <t>SERV-11589</t>
        </is>
      </c>
      <c r="B1593" s="5" t="inlineStr">
        <is>
          <t>Técnico de Enfermagem / Agente de Saúde</t>
        </is>
      </c>
      <c r="C1593" s="4" t="inlineStr">
        <is>
          <t>Efetivo Concursado</t>
        </is>
      </c>
      <c r="D1593" s="4" t="inlineStr">
        <is>
          <t>SEC-SAU</t>
        </is>
      </c>
      <c r="E1593" s="6" t="n">
        <v>4224.82</v>
      </c>
      <c r="F1593" s="6">
        <f>E1593*0.22</f>
        <v/>
      </c>
      <c r="G1593" s="6">
        <f>E1593+F1593</f>
        <v/>
      </c>
      <c r="H1593" s="10" t="n">
        <v>6</v>
      </c>
      <c r="I1593" s="7">
        <f>H1593/(180*0.714)</f>
        <v/>
      </c>
    </row>
    <row r="1594">
      <c r="A1594" s="4" t="inlineStr">
        <is>
          <t>SERV-11590</t>
        </is>
      </c>
      <c r="B1594" s="5" t="inlineStr">
        <is>
          <t>Técnico de Enfermagem / Agente de Saúde</t>
        </is>
      </c>
      <c r="C1594" s="4" t="inlineStr">
        <is>
          <t>Efetivo Concursado</t>
        </is>
      </c>
      <c r="D1594" s="4" t="inlineStr">
        <is>
          <t>SEC-SAU</t>
        </is>
      </c>
      <c r="E1594" s="6" t="n">
        <v>3939.22</v>
      </c>
      <c r="F1594" s="6">
        <f>E1594*0.22</f>
        <v/>
      </c>
      <c r="G1594" s="6">
        <f>E1594+F1594</f>
        <v/>
      </c>
      <c r="H1594" s="10" t="n">
        <v>10</v>
      </c>
      <c r="I1594" s="7">
        <f>H1594/(180*0.714)</f>
        <v/>
      </c>
    </row>
    <row r="1595">
      <c r="A1595" s="4" t="inlineStr">
        <is>
          <t>SERV-11591</t>
        </is>
      </c>
      <c r="B1595" s="5" t="inlineStr">
        <is>
          <t>Técnico de Enfermagem / Agente de Saúde</t>
        </is>
      </c>
      <c r="C1595" s="4" t="inlineStr">
        <is>
          <t>Efetivo Concursado</t>
        </is>
      </c>
      <c r="D1595" s="4" t="inlineStr">
        <is>
          <t>SEC-SAU</t>
        </is>
      </c>
      <c r="E1595" s="6" t="n">
        <v>3764.44</v>
      </c>
      <c r="F1595" s="6">
        <f>E1595*0.22</f>
        <v/>
      </c>
      <c r="G1595" s="6">
        <f>E1595+F1595</f>
        <v/>
      </c>
      <c r="H1595" s="10" t="n">
        <v>5</v>
      </c>
      <c r="I1595" s="7">
        <f>H1595/(180*0.714)</f>
        <v/>
      </c>
    </row>
    <row r="1596">
      <c r="A1596" s="4" t="inlineStr">
        <is>
          <t>SERV-11592</t>
        </is>
      </c>
      <c r="B1596" s="5" t="inlineStr">
        <is>
          <t>Técnico de Enfermagem / Agente de Saúde</t>
        </is>
      </c>
      <c r="C1596" s="4" t="inlineStr">
        <is>
          <t>Efetivo Concursado</t>
        </is>
      </c>
      <c r="D1596" s="4" t="inlineStr">
        <is>
          <t>SEC-SAU</t>
        </is>
      </c>
      <c r="E1596" s="6" t="n">
        <v>4251.55</v>
      </c>
      <c r="F1596" s="6">
        <f>E1596*0.22</f>
        <v/>
      </c>
      <c r="G1596" s="6">
        <f>E1596+F1596</f>
        <v/>
      </c>
      <c r="H1596" s="10" t="n">
        <v>10</v>
      </c>
      <c r="I1596" s="7">
        <f>H1596/(180*0.714)</f>
        <v/>
      </c>
    </row>
    <row r="1597">
      <c r="A1597" s="4" t="inlineStr">
        <is>
          <t>SERV-11593</t>
        </is>
      </c>
      <c r="B1597" s="5" t="inlineStr">
        <is>
          <t>Técnico de Enfermagem / Agente de Saúde</t>
        </is>
      </c>
      <c r="C1597" s="4" t="inlineStr">
        <is>
          <t>Efetivo Concursado</t>
        </is>
      </c>
      <c r="D1597" s="4" t="inlineStr">
        <is>
          <t>SEC-SAU</t>
        </is>
      </c>
      <c r="E1597" s="6" t="n">
        <v>3569.61</v>
      </c>
      <c r="F1597" s="6">
        <f>E1597*0.22</f>
        <v/>
      </c>
      <c r="G1597" s="6">
        <f>E1597+F1597</f>
        <v/>
      </c>
      <c r="H1597" s="10" t="n">
        <v>4</v>
      </c>
      <c r="I1597" s="7">
        <f>H1597/(180*0.714)</f>
        <v/>
      </c>
    </row>
    <row r="1598">
      <c r="A1598" s="4" t="inlineStr">
        <is>
          <t>SERV-11594</t>
        </is>
      </c>
      <c r="B1598" s="5" t="inlineStr">
        <is>
          <t>Técnico de Enfermagem / Agente de Saúde</t>
        </is>
      </c>
      <c r="C1598" s="4" t="inlineStr">
        <is>
          <t>Efetivo Concursado</t>
        </is>
      </c>
      <c r="D1598" s="4" t="inlineStr">
        <is>
          <t>SEC-SAU</t>
        </is>
      </c>
      <c r="E1598" s="6" t="n">
        <v>3959.95</v>
      </c>
      <c r="F1598" s="6">
        <f>E1598*0.22</f>
        <v/>
      </c>
      <c r="G1598" s="6">
        <f>E1598+F1598</f>
        <v/>
      </c>
      <c r="H1598" s="10" t="n">
        <v>10</v>
      </c>
      <c r="I1598" s="7">
        <f>H1598/(180*0.714)</f>
        <v/>
      </c>
    </row>
    <row r="1599">
      <c r="A1599" s="4" t="inlineStr">
        <is>
          <t>SERV-11595</t>
        </is>
      </c>
      <c r="B1599" s="5" t="inlineStr">
        <is>
          <t>Técnico de Enfermagem / Agente de Saúde</t>
        </is>
      </c>
      <c r="C1599" s="4" t="inlineStr">
        <is>
          <t>Efetivo Concursado</t>
        </is>
      </c>
      <c r="D1599" s="4" t="inlineStr">
        <is>
          <t>SEC-SAU</t>
        </is>
      </c>
      <c r="E1599" s="6" t="n">
        <v>4244.39</v>
      </c>
      <c r="F1599" s="6">
        <f>E1599*0.22</f>
        <v/>
      </c>
      <c r="G1599" s="6">
        <f>E1599+F1599</f>
        <v/>
      </c>
      <c r="H1599" s="10" t="n">
        <v>12</v>
      </c>
      <c r="I1599" s="7">
        <f>H1599/(180*0.714)</f>
        <v/>
      </c>
    </row>
    <row r="1600">
      <c r="A1600" s="4" t="inlineStr">
        <is>
          <t>SERV-11596</t>
        </is>
      </c>
      <c r="B1600" s="5" t="inlineStr">
        <is>
          <t>Técnico de Enfermagem / Agente de Saúde</t>
        </is>
      </c>
      <c r="C1600" s="4" t="inlineStr">
        <is>
          <t>Efetivo Concursado</t>
        </is>
      </c>
      <c r="D1600" s="4" t="inlineStr">
        <is>
          <t>SEC-SAU</t>
        </is>
      </c>
      <c r="E1600" s="6" t="n">
        <v>3602.87</v>
      </c>
      <c r="F1600" s="6">
        <f>E1600*0.22</f>
        <v/>
      </c>
      <c r="G1600" s="6">
        <f>E1600+F1600</f>
        <v/>
      </c>
      <c r="H1600" s="10" t="n">
        <v>5</v>
      </c>
      <c r="I1600" s="7">
        <f>H1600/(180*0.714)</f>
        <v/>
      </c>
    </row>
    <row r="1601">
      <c r="A1601" s="4" t="inlineStr">
        <is>
          <t>SERV-11597</t>
        </is>
      </c>
      <c r="B1601" s="5" t="inlineStr">
        <is>
          <t>Técnico de Enfermagem / Agente de Saúde</t>
        </is>
      </c>
      <c r="C1601" s="4" t="inlineStr">
        <is>
          <t>Efetivo Concursado</t>
        </is>
      </c>
      <c r="D1601" s="4" t="inlineStr">
        <is>
          <t>SEC-SAU</t>
        </is>
      </c>
      <c r="E1601" s="6" t="n">
        <v>4107.58</v>
      </c>
      <c r="F1601" s="6">
        <f>E1601*0.22</f>
        <v/>
      </c>
      <c r="G1601" s="6">
        <f>E1601+F1601</f>
        <v/>
      </c>
      <c r="H1601" s="10" t="n">
        <v>9</v>
      </c>
      <c r="I1601" s="7">
        <f>H1601/(180*0.714)</f>
        <v/>
      </c>
    </row>
    <row r="1602">
      <c r="A1602" s="4" t="inlineStr">
        <is>
          <t>SERV-11598</t>
        </is>
      </c>
      <c r="B1602" s="5" t="inlineStr">
        <is>
          <t>Técnico de Enfermagem / Agente de Saúde</t>
        </is>
      </c>
      <c r="C1602" s="4" t="inlineStr">
        <is>
          <t>Efetivo Concursado</t>
        </is>
      </c>
      <c r="D1602" s="4" t="inlineStr">
        <is>
          <t>SEC-SAU</t>
        </is>
      </c>
      <c r="E1602" s="6" t="n">
        <v>4035.1</v>
      </c>
      <c r="F1602" s="6">
        <f>E1602*0.22</f>
        <v/>
      </c>
      <c r="G1602" s="6">
        <f>E1602+F1602</f>
        <v/>
      </c>
      <c r="H1602" s="10" t="n">
        <v>8</v>
      </c>
      <c r="I1602" s="7">
        <f>H1602/(180*0.714)</f>
        <v/>
      </c>
    </row>
    <row r="1603">
      <c r="A1603" s="4" t="inlineStr">
        <is>
          <t>SERV-11599</t>
        </is>
      </c>
      <c r="B1603" s="5" t="inlineStr">
        <is>
          <t>Técnico de Enfermagem / Agente de Saúde</t>
        </is>
      </c>
      <c r="C1603" s="4" t="inlineStr">
        <is>
          <t>Efetivo Concursado</t>
        </is>
      </c>
      <c r="D1603" s="4" t="inlineStr">
        <is>
          <t>SEC-SAU</t>
        </is>
      </c>
      <c r="E1603" s="6" t="n">
        <v>3497.22</v>
      </c>
      <c r="F1603" s="6">
        <f>E1603*0.22</f>
        <v/>
      </c>
      <c r="G1603" s="6">
        <f>E1603+F1603</f>
        <v/>
      </c>
      <c r="H1603" s="10" t="n">
        <v>12</v>
      </c>
      <c r="I1603" s="7">
        <f>H1603/(180*0.714)</f>
        <v/>
      </c>
    </row>
    <row r="1604">
      <c r="A1604" s="4" t="inlineStr">
        <is>
          <t>SERV-11600</t>
        </is>
      </c>
      <c r="B1604" s="5" t="inlineStr">
        <is>
          <t>Técnico de Enfermagem / Agente de Saúde</t>
        </is>
      </c>
      <c r="C1604" s="4" t="inlineStr">
        <is>
          <t>Efetivo Concursado</t>
        </is>
      </c>
      <c r="D1604" s="4" t="inlineStr">
        <is>
          <t>SEC-SAU</t>
        </is>
      </c>
      <c r="E1604" s="6" t="n">
        <v>3516.2</v>
      </c>
      <c r="F1604" s="6">
        <f>E1604*0.22</f>
        <v/>
      </c>
      <c r="G1604" s="6">
        <f>E1604+F1604</f>
        <v/>
      </c>
      <c r="H1604" s="10" t="n">
        <v>7</v>
      </c>
      <c r="I1604" s="7">
        <f>H1604/(180*0.714)</f>
        <v/>
      </c>
    </row>
    <row r="1605">
      <c r="A1605" s="4" t="inlineStr">
        <is>
          <t>SERV-11601</t>
        </is>
      </c>
      <c r="B1605" s="5" t="inlineStr">
        <is>
          <t>Técnico de Enfermagem / Agente de Saúde</t>
        </is>
      </c>
      <c r="C1605" s="4" t="inlineStr">
        <is>
          <t>Efetivo Concursado</t>
        </is>
      </c>
      <c r="D1605" s="4" t="inlineStr">
        <is>
          <t>SEC-SAU</t>
        </is>
      </c>
      <c r="E1605" s="6" t="n">
        <v>3705.4</v>
      </c>
      <c r="F1605" s="6">
        <f>E1605*0.22</f>
        <v/>
      </c>
      <c r="G1605" s="6">
        <f>E1605+F1605</f>
        <v/>
      </c>
      <c r="H1605" s="10" t="n">
        <v>7</v>
      </c>
      <c r="I1605" s="7">
        <f>H1605/(180*0.714)</f>
        <v/>
      </c>
    </row>
    <row r="1606">
      <c r="A1606" s="4" t="inlineStr">
        <is>
          <t>SERV-11602</t>
        </is>
      </c>
      <c r="B1606" s="5" t="inlineStr">
        <is>
          <t>Técnico de Enfermagem / Agente de Saúde</t>
        </is>
      </c>
      <c r="C1606" s="4" t="inlineStr">
        <is>
          <t>Efetivo Concursado</t>
        </is>
      </c>
      <c r="D1606" s="4" t="inlineStr">
        <is>
          <t>SEC-SAU</t>
        </is>
      </c>
      <c r="E1606" s="6" t="n">
        <v>4059.27</v>
      </c>
      <c r="F1606" s="6">
        <f>E1606*0.22</f>
        <v/>
      </c>
      <c r="G1606" s="6">
        <f>E1606+F1606</f>
        <v/>
      </c>
      <c r="H1606" s="10" t="n">
        <v>13</v>
      </c>
      <c r="I1606" s="7">
        <f>H1606/(180*0.714)</f>
        <v/>
      </c>
    </row>
    <row r="1607">
      <c r="A1607" s="4" t="inlineStr">
        <is>
          <t>SERV-11603</t>
        </is>
      </c>
      <c r="B1607" s="5" t="inlineStr">
        <is>
          <t>Técnico de Enfermagem / Agente de Saúde</t>
        </is>
      </c>
      <c r="C1607" s="4" t="inlineStr">
        <is>
          <t>Efetivo Concursado</t>
        </is>
      </c>
      <c r="D1607" s="4" t="inlineStr">
        <is>
          <t>SEC-SAU</t>
        </is>
      </c>
      <c r="E1607" s="6" t="n">
        <v>3825.73</v>
      </c>
      <c r="F1607" s="6">
        <f>E1607*0.22</f>
        <v/>
      </c>
      <c r="G1607" s="6">
        <f>E1607+F1607</f>
        <v/>
      </c>
      <c r="H1607" s="10" t="n">
        <v>8</v>
      </c>
      <c r="I1607" s="7">
        <f>H1607/(180*0.714)</f>
        <v/>
      </c>
    </row>
    <row r="1608">
      <c r="A1608" s="4" t="inlineStr">
        <is>
          <t>SERV-11604</t>
        </is>
      </c>
      <c r="B1608" s="5" t="inlineStr">
        <is>
          <t>Técnico de Enfermagem / Agente de Saúde</t>
        </is>
      </c>
      <c r="C1608" s="4" t="inlineStr">
        <is>
          <t>Efetivo Concursado</t>
        </is>
      </c>
      <c r="D1608" s="4" t="inlineStr">
        <is>
          <t>SEC-SAU</t>
        </is>
      </c>
      <c r="E1608" s="6" t="n">
        <v>3658.28</v>
      </c>
      <c r="F1608" s="6">
        <f>E1608*0.22</f>
        <v/>
      </c>
      <c r="G1608" s="6">
        <f>E1608+F1608</f>
        <v/>
      </c>
      <c r="H1608" s="10" t="n">
        <v>11</v>
      </c>
      <c r="I1608" s="7">
        <f>H1608/(180*0.714)</f>
        <v/>
      </c>
    </row>
    <row r="1609">
      <c r="A1609" s="4" t="inlineStr">
        <is>
          <t>SERV-11605</t>
        </is>
      </c>
      <c r="B1609" s="5" t="inlineStr">
        <is>
          <t>Técnico de Enfermagem / Agente de Saúde</t>
        </is>
      </c>
      <c r="C1609" s="4" t="inlineStr">
        <is>
          <t>Efetivo Concursado</t>
        </is>
      </c>
      <c r="D1609" s="4" t="inlineStr">
        <is>
          <t>SEC-SAU</t>
        </is>
      </c>
      <c r="E1609" s="6" t="n">
        <v>4087.4</v>
      </c>
      <c r="F1609" s="6">
        <f>E1609*0.22</f>
        <v/>
      </c>
      <c r="G1609" s="6">
        <f>E1609+F1609</f>
        <v/>
      </c>
      <c r="H1609" s="10" t="n">
        <v>6</v>
      </c>
      <c r="I1609" s="7">
        <f>H1609/(180*0.714)</f>
        <v/>
      </c>
    </row>
    <row r="1610">
      <c r="A1610" s="4" t="inlineStr">
        <is>
          <t>SERV-11606</t>
        </is>
      </c>
      <c r="B1610" s="5" t="inlineStr">
        <is>
          <t>Técnico de Enfermagem / Agente de Saúde</t>
        </is>
      </c>
      <c r="C1610" s="4" t="inlineStr">
        <is>
          <t>Efetivo Concursado</t>
        </is>
      </c>
      <c r="D1610" s="4" t="inlineStr">
        <is>
          <t>SEC-SAU</t>
        </is>
      </c>
      <c r="E1610" s="6" t="n">
        <v>3694.43</v>
      </c>
      <c r="F1610" s="6">
        <f>E1610*0.22</f>
        <v/>
      </c>
      <c r="G1610" s="6">
        <f>E1610+F1610</f>
        <v/>
      </c>
      <c r="H1610" s="10" t="n">
        <v>7</v>
      </c>
      <c r="I1610" s="7">
        <f>H1610/(180*0.714)</f>
        <v/>
      </c>
    </row>
    <row r="1611">
      <c r="A1611" s="4" t="inlineStr">
        <is>
          <t>SERV-11607</t>
        </is>
      </c>
      <c r="B1611" s="5" t="inlineStr">
        <is>
          <t>Técnico de Enfermagem / Agente de Saúde</t>
        </is>
      </c>
      <c r="C1611" s="4" t="inlineStr">
        <is>
          <t>Efetivo Concursado</t>
        </is>
      </c>
      <c r="D1611" s="4" t="inlineStr">
        <is>
          <t>SEC-SAU</t>
        </is>
      </c>
      <c r="E1611" s="6" t="n">
        <v>3982.99</v>
      </c>
      <c r="F1611" s="6">
        <f>E1611*0.22</f>
        <v/>
      </c>
      <c r="G1611" s="6">
        <f>E1611+F1611</f>
        <v/>
      </c>
      <c r="H1611" s="10" t="n">
        <v>6</v>
      </c>
      <c r="I1611" s="7">
        <f>H1611/(180*0.714)</f>
        <v/>
      </c>
    </row>
    <row r="1612">
      <c r="A1612" s="4" t="inlineStr">
        <is>
          <t>SERV-11608</t>
        </is>
      </c>
      <c r="B1612" s="5" t="inlineStr">
        <is>
          <t>Técnico de Enfermagem / Agente de Saúde</t>
        </is>
      </c>
      <c r="C1612" s="4" t="inlineStr">
        <is>
          <t>Efetivo Concursado</t>
        </is>
      </c>
      <c r="D1612" s="4" t="inlineStr">
        <is>
          <t>SEC-SAU</t>
        </is>
      </c>
      <c r="E1612" s="6" t="n">
        <v>3521.36</v>
      </c>
      <c r="F1612" s="6">
        <f>E1612*0.22</f>
        <v/>
      </c>
      <c r="G1612" s="6">
        <f>E1612+F1612</f>
        <v/>
      </c>
      <c r="H1612" s="10" t="n">
        <v>4</v>
      </c>
      <c r="I1612" s="7">
        <f>H1612/(180*0.714)</f>
        <v/>
      </c>
    </row>
    <row r="1613">
      <c r="A1613" s="4" t="inlineStr">
        <is>
          <t>SERV-11609</t>
        </is>
      </c>
      <c r="B1613" s="5" t="inlineStr">
        <is>
          <t>Técnico de Enfermagem / Agente de Saúde</t>
        </is>
      </c>
      <c r="C1613" s="4" t="inlineStr">
        <is>
          <t>Efetivo Concursado</t>
        </is>
      </c>
      <c r="D1613" s="4" t="inlineStr">
        <is>
          <t>SEC-SAU</t>
        </is>
      </c>
      <c r="E1613" s="6" t="n">
        <v>3633.11</v>
      </c>
      <c r="F1613" s="6">
        <f>E1613*0.22</f>
        <v/>
      </c>
      <c r="G1613" s="6">
        <f>E1613+F1613</f>
        <v/>
      </c>
      <c r="H1613" s="10" t="n">
        <v>10</v>
      </c>
      <c r="I1613" s="7">
        <f>H1613/(180*0.714)</f>
        <v/>
      </c>
    </row>
    <row r="1614">
      <c r="A1614" s="4" t="inlineStr">
        <is>
          <t>SERV-11610</t>
        </is>
      </c>
      <c r="B1614" s="5" t="inlineStr">
        <is>
          <t>Técnico de Enfermagem / Agente de Saúde</t>
        </is>
      </c>
      <c r="C1614" s="4" t="inlineStr">
        <is>
          <t>Efetivo Concursado</t>
        </is>
      </c>
      <c r="D1614" s="4" t="inlineStr">
        <is>
          <t>SEC-SAU</t>
        </is>
      </c>
      <c r="E1614" s="6" t="n">
        <v>3888.67</v>
      </c>
      <c r="F1614" s="6">
        <f>E1614*0.22</f>
        <v/>
      </c>
      <c r="G1614" s="6">
        <f>E1614+F1614</f>
        <v/>
      </c>
      <c r="H1614" s="10" t="n">
        <v>9</v>
      </c>
      <c r="I1614" s="7">
        <f>H1614/(180*0.714)</f>
        <v/>
      </c>
    </row>
    <row r="1615">
      <c r="A1615" s="4" t="inlineStr">
        <is>
          <t>SERV-11611</t>
        </is>
      </c>
      <c r="B1615" s="5" t="inlineStr">
        <is>
          <t>Técnico de Enfermagem / Agente de Saúde</t>
        </is>
      </c>
      <c r="C1615" s="4" t="inlineStr">
        <is>
          <t>Efetivo Concursado</t>
        </is>
      </c>
      <c r="D1615" s="4" t="inlineStr">
        <is>
          <t>SEC-SAU</t>
        </is>
      </c>
      <c r="E1615" s="6" t="n">
        <v>3917.25</v>
      </c>
      <c r="F1615" s="6">
        <f>E1615*0.22</f>
        <v/>
      </c>
      <c r="G1615" s="6">
        <f>E1615+F1615</f>
        <v/>
      </c>
      <c r="H1615" s="10" t="n">
        <v>4</v>
      </c>
      <c r="I1615" s="7">
        <f>H1615/(180*0.714)</f>
        <v/>
      </c>
    </row>
    <row r="1616">
      <c r="A1616" s="4" t="inlineStr">
        <is>
          <t>SERV-11612</t>
        </is>
      </c>
      <c r="B1616" s="5" t="inlineStr">
        <is>
          <t>Técnico de Enfermagem / Agente de Saúde</t>
        </is>
      </c>
      <c r="C1616" s="4" t="inlineStr">
        <is>
          <t>Efetivo Concursado</t>
        </is>
      </c>
      <c r="D1616" s="4" t="inlineStr">
        <is>
          <t>SEC-SAU</t>
        </is>
      </c>
      <c r="E1616" s="6" t="n">
        <v>3706.4</v>
      </c>
      <c r="F1616" s="6">
        <f>E1616*0.22</f>
        <v/>
      </c>
      <c r="G1616" s="6">
        <f>E1616+F1616</f>
        <v/>
      </c>
      <c r="H1616" s="10" t="n">
        <v>7</v>
      </c>
      <c r="I1616" s="7">
        <f>H1616/(180*0.714)</f>
        <v/>
      </c>
    </row>
    <row r="1617">
      <c r="A1617" s="4" t="inlineStr">
        <is>
          <t>SERV-11613</t>
        </is>
      </c>
      <c r="B1617" s="5" t="inlineStr">
        <is>
          <t>Técnico de Enfermagem / Agente de Saúde</t>
        </is>
      </c>
      <c r="C1617" s="4" t="inlineStr">
        <is>
          <t>Efetivo Concursado</t>
        </is>
      </c>
      <c r="D1617" s="4" t="inlineStr">
        <is>
          <t>SEC-SAU</t>
        </is>
      </c>
      <c r="E1617" s="6" t="n">
        <v>4001.27</v>
      </c>
      <c r="F1617" s="6">
        <f>E1617*0.22</f>
        <v/>
      </c>
      <c r="G1617" s="6">
        <f>E1617+F1617</f>
        <v/>
      </c>
      <c r="H1617" s="10" t="n">
        <v>6</v>
      </c>
      <c r="I1617" s="7">
        <f>H1617/(180*0.714)</f>
        <v/>
      </c>
    </row>
    <row r="1618">
      <c r="A1618" s="4" t="inlineStr">
        <is>
          <t>SERV-11614</t>
        </is>
      </c>
      <c r="B1618" s="5" t="inlineStr">
        <is>
          <t>Técnico de Enfermagem / Agente de Saúde</t>
        </is>
      </c>
      <c r="C1618" s="4" t="inlineStr">
        <is>
          <t>Efetivo Concursado</t>
        </is>
      </c>
      <c r="D1618" s="4" t="inlineStr">
        <is>
          <t>SEC-SAU</t>
        </is>
      </c>
      <c r="E1618" s="6" t="n">
        <v>3974.28</v>
      </c>
      <c r="F1618" s="6">
        <f>E1618*0.22</f>
        <v/>
      </c>
      <c r="G1618" s="6">
        <f>E1618+F1618</f>
        <v/>
      </c>
      <c r="H1618" s="10" t="n">
        <v>8</v>
      </c>
      <c r="I1618" s="7">
        <f>H1618/(180*0.714)</f>
        <v/>
      </c>
    </row>
    <row r="1619">
      <c r="A1619" s="4" t="inlineStr">
        <is>
          <t>SERV-11615</t>
        </is>
      </c>
      <c r="B1619" s="5" t="inlineStr">
        <is>
          <t>Técnico de Enfermagem / Agente de Saúde</t>
        </is>
      </c>
      <c r="C1619" s="4" t="inlineStr">
        <is>
          <t>Efetivo Concursado</t>
        </is>
      </c>
      <c r="D1619" s="4" t="inlineStr">
        <is>
          <t>SEC-SAU</t>
        </is>
      </c>
      <c r="E1619" s="6" t="n">
        <v>3562.07</v>
      </c>
      <c r="F1619" s="6">
        <f>E1619*0.22</f>
        <v/>
      </c>
      <c r="G1619" s="6">
        <f>E1619+F1619</f>
        <v/>
      </c>
      <c r="H1619" s="10" t="n">
        <v>4</v>
      </c>
      <c r="I1619" s="7">
        <f>H1619/(180*0.714)</f>
        <v/>
      </c>
    </row>
    <row r="1620">
      <c r="A1620" s="4" t="inlineStr">
        <is>
          <t>SERV-11616</t>
        </is>
      </c>
      <c r="B1620" s="5" t="inlineStr">
        <is>
          <t>Técnico de Enfermagem / Agente de Saúde</t>
        </is>
      </c>
      <c r="C1620" s="4" t="inlineStr">
        <is>
          <t>Efetivo Concursado</t>
        </is>
      </c>
      <c r="D1620" s="4" t="inlineStr">
        <is>
          <t>SEC-SAU</t>
        </is>
      </c>
      <c r="E1620" s="6" t="n">
        <v>4221.64</v>
      </c>
      <c r="F1620" s="6">
        <f>E1620*0.22</f>
        <v/>
      </c>
      <c r="G1620" s="6">
        <f>E1620+F1620</f>
        <v/>
      </c>
      <c r="H1620" s="10" t="n">
        <v>11</v>
      </c>
      <c r="I1620" s="7">
        <f>H1620/(180*0.714)</f>
        <v/>
      </c>
    </row>
    <row r="1621">
      <c r="A1621" s="4" t="inlineStr">
        <is>
          <t>SERV-11617</t>
        </is>
      </c>
      <c r="B1621" s="5" t="inlineStr">
        <is>
          <t>Técnico de Enfermagem / Agente de Saúde</t>
        </is>
      </c>
      <c r="C1621" s="4" t="inlineStr">
        <is>
          <t>Efetivo Concursado</t>
        </is>
      </c>
      <c r="D1621" s="4" t="inlineStr">
        <is>
          <t>SEC-SAU</t>
        </is>
      </c>
      <c r="E1621" s="6" t="n">
        <v>4009.72</v>
      </c>
      <c r="F1621" s="6">
        <f>E1621*0.22</f>
        <v/>
      </c>
      <c r="G1621" s="6">
        <f>E1621+F1621</f>
        <v/>
      </c>
      <c r="H1621" s="10" t="n">
        <v>6</v>
      </c>
      <c r="I1621" s="7">
        <f>H1621/(180*0.714)</f>
        <v/>
      </c>
    </row>
    <row r="1622">
      <c r="A1622" s="4" t="inlineStr">
        <is>
          <t>SERV-11618</t>
        </is>
      </c>
      <c r="B1622" s="5" t="inlineStr">
        <is>
          <t>Técnico de Enfermagem / Agente de Saúde</t>
        </is>
      </c>
      <c r="C1622" s="4" t="inlineStr">
        <is>
          <t>Efetivo Concursado</t>
        </is>
      </c>
      <c r="D1622" s="4" t="inlineStr">
        <is>
          <t>SEC-SAU</t>
        </is>
      </c>
      <c r="E1622" s="6" t="n">
        <v>3608.96</v>
      </c>
      <c r="F1622" s="6">
        <f>E1622*0.22</f>
        <v/>
      </c>
      <c r="G1622" s="6">
        <f>E1622+F1622</f>
        <v/>
      </c>
      <c r="H1622" s="10" t="n">
        <v>9</v>
      </c>
      <c r="I1622" s="7">
        <f>H1622/(180*0.714)</f>
        <v/>
      </c>
    </row>
    <row r="1623">
      <c r="A1623" s="4" t="inlineStr">
        <is>
          <t>SERV-11619</t>
        </is>
      </c>
      <c r="B1623" s="5" t="inlineStr">
        <is>
          <t>Técnico de Enfermagem / Agente de Saúde</t>
        </is>
      </c>
      <c r="C1623" s="4" t="inlineStr">
        <is>
          <t>Efetivo Concursado</t>
        </is>
      </c>
      <c r="D1623" s="4" t="inlineStr">
        <is>
          <t>SEC-SAU</t>
        </is>
      </c>
      <c r="E1623" s="6" t="n">
        <v>4091.11</v>
      </c>
      <c r="F1623" s="6">
        <f>E1623*0.22</f>
        <v/>
      </c>
      <c r="G1623" s="6">
        <f>E1623+F1623</f>
        <v/>
      </c>
      <c r="H1623" s="10" t="n">
        <v>13</v>
      </c>
      <c r="I1623" s="7">
        <f>H1623/(180*0.714)</f>
        <v/>
      </c>
    </row>
    <row r="1624">
      <c r="A1624" s="4" t="inlineStr">
        <is>
          <t>SERV-11620</t>
        </is>
      </c>
      <c r="B1624" s="5" t="inlineStr">
        <is>
          <t>Técnico de Enfermagem / Agente de Saúde</t>
        </is>
      </c>
      <c r="C1624" s="4" t="inlineStr">
        <is>
          <t>Efetivo Concursado</t>
        </is>
      </c>
      <c r="D1624" s="4" t="inlineStr">
        <is>
          <t>SEC-SAU</t>
        </is>
      </c>
      <c r="E1624" s="6" t="n">
        <v>4113.6</v>
      </c>
      <c r="F1624" s="6">
        <f>E1624*0.22</f>
        <v/>
      </c>
      <c r="G1624" s="6">
        <f>E1624+F1624</f>
        <v/>
      </c>
      <c r="H1624" s="10" t="n">
        <v>10</v>
      </c>
      <c r="I1624" s="7">
        <f>H1624/(180*0.714)</f>
        <v/>
      </c>
    </row>
    <row r="1625">
      <c r="A1625" s="4" t="inlineStr">
        <is>
          <t>SERV-11621</t>
        </is>
      </c>
      <c r="B1625" s="5" t="inlineStr">
        <is>
          <t>Técnico de Enfermagem / Agente de Saúde</t>
        </is>
      </c>
      <c r="C1625" s="4" t="inlineStr">
        <is>
          <t>Efetivo Concursado</t>
        </is>
      </c>
      <c r="D1625" s="4" t="inlineStr">
        <is>
          <t>SEC-SAU</t>
        </is>
      </c>
      <c r="E1625" s="6" t="n">
        <v>3587.12</v>
      </c>
      <c r="F1625" s="6">
        <f>E1625*0.22</f>
        <v/>
      </c>
      <c r="G1625" s="6">
        <f>E1625+F1625</f>
        <v/>
      </c>
      <c r="H1625" s="10" t="n">
        <v>8</v>
      </c>
      <c r="I1625" s="7">
        <f>H1625/(180*0.714)</f>
        <v/>
      </c>
    </row>
    <row r="1626">
      <c r="A1626" s="4" t="inlineStr">
        <is>
          <t>SERV-11622</t>
        </is>
      </c>
      <c r="B1626" s="5" t="inlineStr">
        <is>
          <t>Técnico de Enfermagem / Agente de Saúde</t>
        </is>
      </c>
      <c r="C1626" s="4" t="inlineStr">
        <is>
          <t>Efetivo Concursado</t>
        </is>
      </c>
      <c r="D1626" s="4" t="inlineStr">
        <is>
          <t>SEC-SAU</t>
        </is>
      </c>
      <c r="E1626" s="6" t="n">
        <v>3547.11</v>
      </c>
      <c r="F1626" s="6">
        <f>E1626*0.22</f>
        <v/>
      </c>
      <c r="G1626" s="6">
        <f>E1626+F1626</f>
        <v/>
      </c>
      <c r="H1626" s="10" t="n">
        <v>13</v>
      </c>
      <c r="I1626" s="7">
        <f>H1626/(180*0.714)</f>
        <v/>
      </c>
    </row>
    <row r="1627">
      <c r="A1627" s="4" t="inlineStr">
        <is>
          <t>SERV-11623</t>
        </is>
      </c>
      <c r="B1627" s="5" t="inlineStr">
        <is>
          <t>Técnico de Enfermagem / Agente de Saúde</t>
        </is>
      </c>
      <c r="C1627" s="4" t="inlineStr">
        <is>
          <t>Efetivo Concursado</t>
        </is>
      </c>
      <c r="D1627" s="4" t="inlineStr">
        <is>
          <t>SEC-SAU</t>
        </is>
      </c>
      <c r="E1627" s="6" t="n">
        <v>3966.66</v>
      </c>
      <c r="F1627" s="6">
        <f>E1627*0.22</f>
        <v/>
      </c>
      <c r="G1627" s="6">
        <f>E1627+F1627</f>
        <v/>
      </c>
      <c r="H1627" s="10" t="n">
        <v>9</v>
      </c>
      <c r="I1627" s="7">
        <f>H1627/(180*0.714)</f>
        <v/>
      </c>
    </row>
    <row r="1628">
      <c r="A1628" s="4" t="inlineStr">
        <is>
          <t>SERV-11624</t>
        </is>
      </c>
      <c r="B1628" s="5" t="inlineStr">
        <is>
          <t>Guardas Municipais e Fiscais de Postura</t>
        </is>
      </c>
      <c r="C1628" s="4" t="inlineStr">
        <is>
          <t>Efetivo Concursado</t>
        </is>
      </c>
      <c r="D1628" s="4" t="inlineStr">
        <is>
          <t>SEC-SEG</t>
        </is>
      </c>
      <c r="E1628" s="6" t="n">
        <v>5011.73</v>
      </c>
      <c r="F1628" s="6">
        <f>E1628*0.22</f>
        <v/>
      </c>
      <c r="G1628" s="6">
        <f>E1628+F1628</f>
        <v/>
      </c>
      <c r="H1628" s="10" t="n">
        <v>7</v>
      </c>
      <c r="I1628" s="7">
        <f>H1628/(180*0.714)</f>
        <v/>
      </c>
    </row>
    <row r="1629">
      <c r="A1629" s="4" t="inlineStr">
        <is>
          <t>SERV-11625</t>
        </is>
      </c>
      <c r="B1629" s="5" t="inlineStr">
        <is>
          <t>Guardas Municipais e Fiscais de Postura</t>
        </is>
      </c>
      <c r="C1629" s="4" t="inlineStr">
        <is>
          <t>Efetivo Concursado</t>
        </is>
      </c>
      <c r="D1629" s="4" t="inlineStr">
        <is>
          <t>SEC-SEG</t>
        </is>
      </c>
      <c r="E1629" s="6" t="n">
        <v>4682</v>
      </c>
      <c r="F1629" s="6">
        <f>E1629*0.22</f>
        <v/>
      </c>
      <c r="G1629" s="6">
        <f>E1629+F1629</f>
        <v/>
      </c>
      <c r="H1629" s="10" t="n">
        <v>2</v>
      </c>
      <c r="I1629" s="7">
        <f>H1629/(180*0.714)</f>
        <v/>
      </c>
    </row>
    <row r="1630">
      <c r="A1630" s="4" t="inlineStr">
        <is>
          <t>SERV-11626</t>
        </is>
      </c>
      <c r="B1630" s="5" t="inlineStr">
        <is>
          <t>Guardas Municipais e Fiscais de Postura</t>
        </is>
      </c>
      <c r="C1630" s="4" t="inlineStr">
        <is>
          <t>Efetivo Concursado</t>
        </is>
      </c>
      <c r="D1630" s="4" t="inlineStr">
        <is>
          <t>SEC-SEG</t>
        </is>
      </c>
      <c r="E1630" s="6" t="n">
        <v>5237.55</v>
      </c>
      <c r="F1630" s="6">
        <f>E1630*0.22</f>
        <v/>
      </c>
      <c r="G1630" s="6">
        <f>E1630+F1630</f>
        <v/>
      </c>
      <c r="H1630" s="10" t="n">
        <v>2</v>
      </c>
      <c r="I1630" s="7">
        <f>H1630/(180*0.714)</f>
        <v/>
      </c>
    </row>
    <row r="1631">
      <c r="A1631" s="4" t="inlineStr">
        <is>
          <t>SERV-11627</t>
        </is>
      </c>
      <c r="B1631" s="5" t="inlineStr">
        <is>
          <t>Guardas Municipais e Fiscais de Postura</t>
        </is>
      </c>
      <c r="C1631" s="4" t="inlineStr">
        <is>
          <t>Efetivo Concursado</t>
        </is>
      </c>
      <c r="D1631" s="4" t="inlineStr">
        <is>
          <t>SEC-SEG</t>
        </is>
      </c>
      <c r="E1631" s="6" t="n">
        <v>5036.14</v>
      </c>
      <c r="F1631" s="6">
        <f>E1631*0.22</f>
        <v/>
      </c>
      <c r="G1631" s="6">
        <f>E1631+F1631</f>
        <v/>
      </c>
      <c r="H1631" s="10" t="n">
        <v>5</v>
      </c>
      <c r="I1631" s="7">
        <f>H1631/(180*0.714)</f>
        <v/>
      </c>
    </row>
    <row r="1632">
      <c r="A1632" s="4" t="inlineStr">
        <is>
          <t>SERV-11628</t>
        </is>
      </c>
      <c r="B1632" s="5" t="inlineStr">
        <is>
          <t>Guardas Municipais e Fiscais de Postura</t>
        </is>
      </c>
      <c r="C1632" s="4" t="inlineStr">
        <is>
          <t>Efetivo Concursado</t>
        </is>
      </c>
      <c r="D1632" s="4" t="inlineStr">
        <is>
          <t>SEC-SEG</t>
        </is>
      </c>
      <c r="E1632" s="6" t="n">
        <v>4621.67</v>
      </c>
      <c r="F1632" s="6">
        <f>E1632*0.22</f>
        <v/>
      </c>
      <c r="G1632" s="6">
        <f>E1632+F1632</f>
        <v/>
      </c>
      <c r="H1632" s="10" t="n">
        <v>6</v>
      </c>
      <c r="I1632" s="7">
        <f>H1632/(180*0.714)</f>
        <v/>
      </c>
    </row>
    <row r="1633">
      <c r="A1633" s="4" t="inlineStr">
        <is>
          <t>SERV-11629</t>
        </is>
      </c>
      <c r="B1633" s="5" t="inlineStr">
        <is>
          <t>Guardas Municipais e Fiscais de Postura</t>
        </is>
      </c>
      <c r="C1633" s="4" t="inlineStr">
        <is>
          <t>Efetivo Concursado</t>
        </is>
      </c>
      <c r="D1633" s="4" t="inlineStr">
        <is>
          <t>SEC-SEG</t>
        </is>
      </c>
      <c r="E1633" s="6" t="n">
        <v>5417.34</v>
      </c>
      <c r="F1633" s="6">
        <f>E1633*0.22</f>
        <v/>
      </c>
      <c r="G1633" s="6">
        <f>E1633+F1633</f>
        <v/>
      </c>
      <c r="H1633" s="10" t="n">
        <v>5</v>
      </c>
      <c r="I1633" s="7">
        <f>H1633/(180*0.714)</f>
        <v/>
      </c>
    </row>
    <row r="1634">
      <c r="A1634" s="4" t="inlineStr">
        <is>
          <t>SERV-11630</t>
        </is>
      </c>
      <c r="B1634" s="5" t="inlineStr">
        <is>
          <t>Guardas Municipais e Fiscais de Postura</t>
        </is>
      </c>
      <c r="C1634" s="4" t="inlineStr">
        <is>
          <t>Efetivo Concursado</t>
        </is>
      </c>
      <c r="D1634" s="4" t="inlineStr">
        <is>
          <t>SEC-SEG</t>
        </is>
      </c>
      <c r="E1634" s="6" t="n">
        <v>5054.06</v>
      </c>
      <c r="F1634" s="6">
        <f>E1634*0.22</f>
        <v/>
      </c>
      <c r="G1634" s="6">
        <f>E1634+F1634</f>
        <v/>
      </c>
      <c r="H1634" s="10" t="n">
        <v>7</v>
      </c>
      <c r="I1634" s="7">
        <f>H1634/(180*0.714)</f>
        <v/>
      </c>
    </row>
    <row r="1635">
      <c r="A1635" s="4" t="inlineStr">
        <is>
          <t>SERV-11631</t>
        </is>
      </c>
      <c r="B1635" s="5" t="inlineStr">
        <is>
          <t>Guardas Municipais e Fiscais de Postura</t>
        </is>
      </c>
      <c r="C1635" s="4" t="inlineStr">
        <is>
          <t>Efetivo Concursado</t>
        </is>
      </c>
      <c r="D1635" s="4" t="inlineStr">
        <is>
          <t>SEC-SEG</t>
        </is>
      </c>
      <c r="E1635" s="6" t="n">
        <v>5134.61</v>
      </c>
      <c r="F1635" s="6">
        <f>E1635*0.22</f>
        <v/>
      </c>
      <c r="G1635" s="6">
        <f>E1635+F1635</f>
        <v/>
      </c>
      <c r="H1635" s="10" t="n">
        <v>3</v>
      </c>
      <c r="I1635" s="7">
        <f>H1635/(180*0.714)</f>
        <v/>
      </c>
    </row>
    <row r="1636">
      <c r="A1636" s="4" t="inlineStr">
        <is>
          <t>SERV-11632</t>
        </is>
      </c>
      <c r="B1636" s="5" t="inlineStr">
        <is>
          <t>Guardas Municipais e Fiscais de Postura</t>
        </is>
      </c>
      <c r="C1636" s="4" t="inlineStr">
        <is>
          <t>Efetivo Concursado</t>
        </is>
      </c>
      <c r="D1636" s="4" t="inlineStr">
        <is>
          <t>SEC-SEG</t>
        </is>
      </c>
      <c r="E1636" s="6" t="n">
        <v>4957.88</v>
      </c>
      <c r="F1636" s="6">
        <f>E1636*0.22</f>
        <v/>
      </c>
      <c r="G1636" s="6">
        <f>E1636+F1636</f>
        <v/>
      </c>
      <c r="H1636" s="10" t="n">
        <v>5</v>
      </c>
      <c r="I1636" s="7">
        <f>H1636/(180*0.714)</f>
        <v/>
      </c>
    </row>
    <row r="1637">
      <c r="A1637" s="4" t="inlineStr">
        <is>
          <t>SERV-11633</t>
        </is>
      </c>
      <c r="B1637" s="5" t="inlineStr">
        <is>
          <t>Guardas Municipais e Fiscais de Postura</t>
        </is>
      </c>
      <c r="C1637" s="4" t="inlineStr">
        <is>
          <t>Efetivo Concursado</t>
        </is>
      </c>
      <c r="D1637" s="4" t="inlineStr">
        <is>
          <t>SEC-SEG</t>
        </is>
      </c>
      <c r="E1637" s="6" t="n">
        <v>4908.55</v>
      </c>
      <c r="F1637" s="6">
        <f>E1637*0.22</f>
        <v/>
      </c>
      <c r="G1637" s="6">
        <f>E1637+F1637</f>
        <v/>
      </c>
      <c r="H1637" s="10" t="n">
        <v>9</v>
      </c>
      <c r="I1637" s="7">
        <f>H1637/(180*0.714)</f>
        <v/>
      </c>
    </row>
    <row r="1638">
      <c r="A1638" s="4" t="inlineStr">
        <is>
          <t>SERV-11634</t>
        </is>
      </c>
      <c r="B1638" s="5" t="inlineStr">
        <is>
          <t>Guardas Municipais e Fiscais de Postura</t>
        </is>
      </c>
      <c r="C1638" s="4" t="inlineStr">
        <is>
          <t>Efetivo Concursado</t>
        </is>
      </c>
      <c r="D1638" s="4" t="inlineStr">
        <is>
          <t>SEC-SEG</t>
        </is>
      </c>
      <c r="E1638" s="6" t="n">
        <v>5210.07</v>
      </c>
      <c r="F1638" s="6">
        <f>E1638*0.22</f>
        <v/>
      </c>
      <c r="G1638" s="6">
        <f>E1638+F1638</f>
        <v/>
      </c>
      <c r="H1638" s="10" t="n">
        <v>5</v>
      </c>
      <c r="I1638" s="7">
        <f>H1638/(180*0.714)</f>
        <v/>
      </c>
    </row>
    <row r="1639">
      <c r="A1639" s="4" t="inlineStr">
        <is>
          <t>SERV-11635</t>
        </is>
      </c>
      <c r="B1639" s="5" t="inlineStr">
        <is>
          <t>Guardas Municipais e Fiscais de Postura</t>
        </is>
      </c>
      <c r="C1639" s="4" t="inlineStr">
        <is>
          <t>Efetivo Concursado</t>
        </is>
      </c>
      <c r="D1639" s="4" t="inlineStr">
        <is>
          <t>SEC-SEG</t>
        </is>
      </c>
      <c r="E1639" s="6" t="n">
        <v>5375.29</v>
      </c>
      <c r="F1639" s="6">
        <f>E1639*0.22</f>
        <v/>
      </c>
      <c r="G1639" s="6">
        <f>E1639+F1639</f>
        <v/>
      </c>
      <c r="H1639" s="10" t="n">
        <v>5</v>
      </c>
      <c r="I1639" s="7">
        <f>H1639/(180*0.714)</f>
        <v/>
      </c>
    </row>
    <row r="1640">
      <c r="A1640" s="4" t="inlineStr">
        <is>
          <t>SERV-11636</t>
        </is>
      </c>
      <c r="B1640" s="5" t="inlineStr">
        <is>
          <t>Guardas Municipais e Fiscais de Postura</t>
        </is>
      </c>
      <c r="C1640" s="4" t="inlineStr">
        <is>
          <t>Efetivo Concursado</t>
        </is>
      </c>
      <c r="D1640" s="4" t="inlineStr">
        <is>
          <t>SEC-SEG</t>
        </is>
      </c>
      <c r="E1640" s="6" t="n">
        <v>4767.28</v>
      </c>
      <c r="F1640" s="6">
        <f>E1640*0.22</f>
        <v/>
      </c>
      <c r="G1640" s="6">
        <f>E1640+F1640</f>
        <v/>
      </c>
      <c r="H1640" s="10" t="n">
        <v>5</v>
      </c>
      <c r="I1640" s="7">
        <f>H1640/(180*0.714)</f>
        <v/>
      </c>
    </row>
    <row r="1641">
      <c r="A1641" s="4" t="inlineStr">
        <is>
          <t>SERV-11637</t>
        </is>
      </c>
      <c r="B1641" s="5" t="inlineStr">
        <is>
          <t>Guardas Municipais e Fiscais de Postura</t>
        </is>
      </c>
      <c r="C1641" s="4" t="inlineStr">
        <is>
          <t>Efetivo Concursado</t>
        </is>
      </c>
      <c r="D1641" s="4" t="inlineStr">
        <is>
          <t>SEC-SEG</t>
        </is>
      </c>
      <c r="E1641" s="6" t="n">
        <v>5165.93</v>
      </c>
      <c r="F1641" s="6">
        <f>E1641*0.22</f>
        <v/>
      </c>
      <c r="G1641" s="6">
        <f>E1641+F1641</f>
        <v/>
      </c>
      <c r="H1641" s="10" t="n">
        <v>7</v>
      </c>
      <c r="I1641" s="7">
        <f>H1641/(180*0.714)</f>
        <v/>
      </c>
    </row>
    <row r="1642">
      <c r="A1642" s="4" t="inlineStr">
        <is>
          <t>SERV-11638</t>
        </is>
      </c>
      <c r="B1642" s="5" t="inlineStr">
        <is>
          <t>Guardas Municipais e Fiscais de Postura</t>
        </is>
      </c>
      <c r="C1642" s="4" t="inlineStr">
        <is>
          <t>Efetivo Concursado</t>
        </is>
      </c>
      <c r="D1642" s="4" t="inlineStr">
        <is>
          <t>SEC-SEG</t>
        </is>
      </c>
      <c r="E1642" s="6" t="n">
        <v>5320.56</v>
      </c>
      <c r="F1642" s="6">
        <f>E1642*0.22</f>
        <v/>
      </c>
      <c r="G1642" s="6">
        <f>E1642+F1642</f>
        <v/>
      </c>
      <c r="H1642" s="10" t="n">
        <v>6</v>
      </c>
      <c r="I1642" s="7">
        <f>H1642/(180*0.714)</f>
        <v/>
      </c>
    </row>
    <row r="1643">
      <c r="A1643" s="4" t="inlineStr">
        <is>
          <t>SERV-11639</t>
        </is>
      </c>
      <c r="B1643" s="5" t="inlineStr">
        <is>
          <t>Guardas Municipais e Fiscais de Postura</t>
        </is>
      </c>
      <c r="C1643" s="4" t="inlineStr">
        <is>
          <t>Efetivo Concursado</t>
        </is>
      </c>
      <c r="D1643" s="4" t="inlineStr">
        <is>
          <t>SEC-SEG</t>
        </is>
      </c>
      <c r="E1643" s="6" t="n">
        <v>4559.14</v>
      </c>
      <c r="F1643" s="6">
        <f>E1643*0.22</f>
        <v/>
      </c>
      <c r="G1643" s="6">
        <f>E1643+F1643</f>
        <v/>
      </c>
      <c r="H1643" s="10" t="n">
        <v>6</v>
      </c>
      <c r="I1643" s="7">
        <f>H1643/(180*0.714)</f>
        <v/>
      </c>
    </row>
    <row r="1644">
      <c r="A1644" s="4" t="inlineStr">
        <is>
          <t>SERV-11640</t>
        </is>
      </c>
      <c r="B1644" s="5" t="inlineStr">
        <is>
          <t>Guardas Municipais e Fiscais de Postura</t>
        </is>
      </c>
      <c r="C1644" s="4" t="inlineStr">
        <is>
          <t>Efetivo Concursado</t>
        </is>
      </c>
      <c r="D1644" s="4" t="inlineStr">
        <is>
          <t>SEC-SEG</t>
        </is>
      </c>
      <c r="E1644" s="6" t="n">
        <v>4863.97</v>
      </c>
      <c r="F1644" s="6">
        <f>E1644*0.22</f>
        <v/>
      </c>
      <c r="G1644" s="6">
        <f>E1644+F1644</f>
        <v/>
      </c>
      <c r="H1644" s="10" t="n">
        <v>2</v>
      </c>
      <c r="I1644" s="7">
        <f>H1644/(180*0.714)</f>
        <v/>
      </c>
    </row>
    <row r="1645">
      <c r="A1645" s="4" t="inlineStr">
        <is>
          <t>SERV-11641</t>
        </is>
      </c>
      <c r="B1645" s="5" t="inlineStr">
        <is>
          <t>Guardas Municipais e Fiscais de Postura</t>
        </is>
      </c>
      <c r="C1645" s="4" t="inlineStr">
        <is>
          <t>Efetivo Concursado</t>
        </is>
      </c>
      <c r="D1645" s="4" t="inlineStr">
        <is>
          <t>SEC-SEG</t>
        </is>
      </c>
      <c r="E1645" s="6" t="n">
        <v>4653.28</v>
      </c>
      <c r="F1645" s="6">
        <f>E1645*0.22</f>
        <v/>
      </c>
      <c r="G1645" s="6">
        <f>E1645+F1645</f>
        <v/>
      </c>
      <c r="H1645" s="10" t="n">
        <v>8</v>
      </c>
      <c r="I1645" s="7">
        <f>H1645/(180*0.714)</f>
        <v/>
      </c>
    </row>
    <row r="1646">
      <c r="A1646" s="4" t="inlineStr">
        <is>
          <t>SERV-11642</t>
        </is>
      </c>
      <c r="B1646" s="5" t="inlineStr">
        <is>
          <t>Guardas Municipais e Fiscais de Postura</t>
        </is>
      </c>
      <c r="C1646" s="4" t="inlineStr">
        <is>
          <t>Efetivo Concursado</t>
        </is>
      </c>
      <c r="D1646" s="4" t="inlineStr">
        <is>
          <t>SEC-SEG</t>
        </is>
      </c>
      <c r="E1646" s="6" t="n">
        <v>5275.97</v>
      </c>
      <c r="F1646" s="6">
        <f>E1646*0.22</f>
        <v/>
      </c>
      <c r="G1646" s="6">
        <f>E1646+F1646</f>
        <v/>
      </c>
      <c r="H1646" s="10" t="n">
        <v>7</v>
      </c>
      <c r="I1646" s="7">
        <f>H1646/(180*0.714)</f>
        <v/>
      </c>
    </row>
    <row r="1647">
      <c r="A1647" s="4" t="inlineStr">
        <is>
          <t>SERV-11643</t>
        </is>
      </c>
      <c r="B1647" s="5" t="inlineStr">
        <is>
          <t>Guardas Municipais e Fiscais de Postura</t>
        </is>
      </c>
      <c r="C1647" s="4" t="inlineStr">
        <is>
          <t>Efetivo Concursado</t>
        </is>
      </c>
      <c r="D1647" s="4" t="inlineStr">
        <is>
          <t>SEC-SEG</t>
        </is>
      </c>
      <c r="E1647" s="6" t="n">
        <v>4810.23</v>
      </c>
      <c r="F1647" s="6">
        <f>E1647*0.22</f>
        <v/>
      </c>
      <c r="G1647" s="6">
        <f>E1647+F1647</f>
        <v/>
      </c>
      <c r="H1647" s="10" t="n">
        <v>5</v>
      </c>
      <c r="I1647" s="7">
        <f>H1647/(180*0.714)</f>
        <v/>
      </c>
    </row>
    <row r="1648">
      <c r="A1648" s="4" t="inlineStr">
        <is>
          <t>SERV-11644</t>
        </is>
      </c>
      <c r="B1648" s="5" t="inlineStr">
        <is>
          <t>Guardas Municipais e Fiscais de Postura</t>
        </is>
      </c>
      <c r="C1648" s="4" t="inlineStr">
        <is>
          <t>Efetivo Concursado</t>
        </is>
      </c>
      <c r="D1648" s="4" t="inlineStr">
        <is>
          <t>SEC-SEG</t>
        </is>
      </c>
      <c r="E1648" s="6" t="n">
        <v>5359.67</v>
      </c>
      <c r="F1648" s="6">
        <f>E1648*0.22</f>
        <v/>
      </c>
      <c r="G1648" s="6">
        <f>E1648+F1648</f>
        <v/>
      </c>
      <c r="H1648" s="10" t="n">
        <v>8</v>
      </c>
      <c r="I1648" s="7">
        <f>H1648/(180*0.714)</f>
        <v/>
      </c>
    </row>
    <row r="1649">
      <c r="A1649" s="4" t="inlineStr">
        <is>
          <t>SERV-11645</t>
        </is>
      </c>
      <c r="B1649" s="5" t="inlineStr">
        <is>
          <t>Guardas Municipais e Fiscais de Postura</t>
        </is>
      </c>
      <c r="C1649" s="4" t="inlineStr">
        <is>
          <t>Efetivo Concursado</t>
        </is>
      </c>
      <c r="D1649" s="4" t="inlineStr">
        <is>
          <t>SEC-SEG</t>
        </is>
      </c>
      <c r="E1649" s="6" t="n">
        <v>5245.85</v>
      </c>
      <c r="F1649" s="6">
        <f>E1649*0.22</f>
        <v/>
      </c>
      <c r="G1649" s="6">
        <f>E1649+F1649</f>
        <v/>
      </c>
      <c r="H1649" s="10" t="n">
        <v>5</v>
      </c>
      <c r="I1649" s="7">
        <f>H1649/(180*0.714)</f>
        <v/>
      </c>
    </row>
    <row r="1650">
      <c r="A1650" s="4" t="inlineStr">
        <is>
          <t>SERV-11646</t>
        </is>
      </c>
      <c r="B1650" s="5" t="inlineStr">
        <is>
          <t>Guardas Municipais e Fiscais de Postura</t>
        </is>
      </c>
      <c r="C1650" s="4" t="inlineStr">
        <is>
          <t>Efetivo Concursado</t>
        </is>
      </c>
      <c r="D1650" s="4" t="inlineStr">
        <is>
          <t>SEC-SEG</t>
        </is>
      </c>
      <c r="E1650" s="6" t="n">
        <v>4815.23</v>
      </c>
      <c r="F1650" s="6">
        <f>E1650*0.22</f>
        <v/>
      </c>
      <c r="G1650" s="6">
        <f>E1650+F1650</f>
        <v/>
      </c>
      <c r="H1650" s="10" t="n">
        <v>3</v>
      </c>
      <c r="I1650" s="7">
        <f>H1650/(180*0.714)</f>
        <v/>
      </c>
    </row>
    <row r="1651">
      <c r="A1651" s="4" t="inlineStr">
        <is>
          <t>SERV-11647</t>
        </is>
      </c>
      <c r="B1651" s="5" t="inlineStr">
        <is>
          <t>Guardas Municipais e Fiscais de Postura</t>
        </is>
      </c>
      <c r="C1651" s="4" t="inlineStr">
        <is>
          <t>Efetivo Concursado</t>
        </is>
      </c>
      <c r="D1651" s="4" t="inlineStr">
        <is>
          <t>SEC-SEG</t>
        </is>
      </c>
      <c r="E1651" s="6" t="n">
        <v>4536.37</v>
      </c>
      <c r="F1651" s="6">
        <f>E1651*0.22</f>
        <v/>
      </c>
      <c r="G1651" s="6">
        <f>E1651+F1651</f>
        <v/>
      </c>
      <c r="H1651" s="10" t="n">
        <v>8</v>
      </c>
      <c r="I1651" s="7">
        <f>H1651/(180*0.714)</f>
        <v/>
      </c>
    </row>
    <row r="1652">
      <c r="A1652" s="4" t="inlineStr">
        <is>
          <t>SERV-11648</t>
        </is>
      </c>
      <c r="B1652" s="5" t="inlineStr">
        <is>
          <t>Guardas Municipais e Fiscais de Postura</t>
        </is>
      </c>
      <c r="C1652" s="4" t="inlineStr">
        <is>
          <t>Efetivo Concursado</t>
        </is>
      </c>
      <c r="D1652" s="4" t="inlineStr">
        <is>
          <t>SEC-SEG</t>
        </is>
      </c>
      <c r="E1652" s="6" t="n">
        <v>5265.97</v>
      </c>
      <c r="F1652" s="6">
        <f>E1652*0.22</f>
        <v/>
      </c>
      <c r="G1652" s="6">
        <f>E1652+F1652</f>
        <v/>
      </c>
      <c r="H1652" s="10" t="n">
        <v>2</v>
      </c>
      <c r="I1652" s="7">
        <f>H1652/(180*0.714)</f>
        <v/>
      </c>
    </row>
    <row r="1653">
      <c r="A1653" s="4" t="inlineStr">
        <is>
          <t>SERV-11649</t>
        </is>
      </c>
      <c r="B1653" s="5" t="inlineStr">
        <is>
          <t>Guardas Municipais e Fiscais de Postura</t>
        </is>
      </c>
      <c r="C1653" s="4" t="inlineStr">
        <is>
          <t>Efetivo Concursado</t>
        </is>
      </c>
      <c r="D1653" s="4" t="inlineStr">
        <is>
          <t>SEC-SEG</t>
        </is>
      </c>
      <c r="E1653" s="6" t="n">
        <v>4847.34</v>
      </c>
      <c r="F1653" s="6">
        <f>E1653*0.22</f>
        <v/>
      </c>
      <c r="G1653" s="6">
        <f>E1653+F1653</f>
        <v/>
      </c>
      <c r="H1653" s="10" t="n">
        <v>5</v>
      </c>
      <c r="I1653" s="7">
        <f>H1653/(180*0.714)</f>
        <v/>
      </c>
    </row>
    <row r="1654">
      <c r="A1654" s="4" t="inlineStr">
        <is>
          <t>SERV-11650</t>
        </is>
      </c>
      <c r="B1654" s="5" t="inlineStr">
        <is>
          <t>Guardas Municipais e Fiscais de Postura</t>
        </is>
      </c>
      <c r="C1654" s="4" t="inlineStr">
        <is>
          <t>Efetivo Concursado</t>
        </is>
      </c>
      <c r="D1654" s="4" t="inlineStr">
        <is>
          <t>SEC-SEG</t>
        </is>
      </c>
      <c r="E1654" s="6" t="n">
        <v>5093.6</v>
      </c>
      <c r="F1654" s="6">
        <f>E1654*0.22</f>
        <v/>
      </c>
      <c r="G1654" s="6">
        <f>E1654+F1654</f>
        <v/>
      </c>
      <c r="H1654" s="10" t="n">
        <v>8</v>
      </c>
      <c r="I1654" s="7">
        <f>H1654/(180*0.714)</f>
        <v/>
      </c>
    </row>
    <row r="1655">
      <c r="A1655" s="4" t="inlineStr">
        <is>
          <t>SERV-11651</t>
        </is>
      </c>
      <c r="B1655" s="5" t="inlineStr">
        <is>
          <t>Guardas Municipais e Fiscais de Postura</t>
        </is>
      </c>
      <c r="C1655" s="4" t="inlineStr">
        <is>
          <t>Efetivo Concursado</t>
        </is>
      </c>
      <c r="D1655" s="4" t="inlineStr">
        <is>
          <t>SEC-SEG</t>
        </is>
      </c>
      <c r="E1655" s="6" t="n">
        <v>4549.4</v>
      </c>
      <c r="F1655" s="6">
        <f>E1655*0.22</f>
        <v/>
      </c>
      <c r="G1655" s="6">
        <f>E1655+F1655</f>
        <v/>
      </c>
      <c r="H1655" s="10" t="n">
        <v>5</v>
      </c>
      <c r="I1655" s="7">
        <f>H1655/(180*0.714)</f>
        <v/>
      </c>
    </row>
    <row r="1656">
      <c r="A1656" s="4" t="inlineStr">
        <is>
          <t>SERV-11652</t>
        </is>
      </c>
      <c r="B1656" s="5" t="inlineStr">
        <is>
          <t>Guardas Municipais e Fiscais de Postura</t>
        </is>
      </c>
      <c r="C1656" s="4" t="inlineStr">
        <is>
          <t>Efetivo Concursado</t>
        </is>
      </c>
      <c r="D1656" s="4" t="inlineStr">
        <is>
          <t>SEC-SEG</t>
        </is>
      </c>
      <c r="E1656" s="6" t="n">
        <v>4889.29</v>
      </c>
      <c r="F1656" s="6">
        <f>E1656*0.22</f>
        <v/>
      </c>
      <c r="G1656" s="6">
        <f>E1656+F1656</f>
        <v/>
      </c>
      <c r="H1656" s="10" t="n">
        <v>7</v>
      </c>
      <c r="I1656" s="7">
        <f>H1656/(180*0.714)</f>
        <v/>
      </c>
    </row>
    <row r="1657">
      <c r="A1657" s="4" t="inlineStr">
        <is>
          <t>SERV-11653</t>
        </is>
      </c>
      <c r="B1657" s="5" t="inlineStr">
        <is>
          <t>Guardas Municipais e Fiscais de Postura</t>
        </is>
      </c>
      <c r="C1657" s="4" t="inlineStr">
        <is>
          <t>Efetivo Concursado</t>
        </is>
      </c>
      <c r="D1657" s="4" t="inlineStr">
        <is>
          <t>SEC-SEG</t>
        </is>
      </c>
      <c r="E1657" s="6" t="n">
        <v>5047.43</v>
      </c>
      <c r="F1657" s="6">
        <f>E1657*0.22</f>
        <v/>
      </c>
      <c r="G1657" s="6">
        <f>E1657+F1657</f>
        <v/>
      </c>
      <c r="H1657" s="10" t="n">
        <v>7</v>
      </c>
      <c r="I1657" s="7">
        <f>H1657/(180*0.714)</f>
        <v/>
      </c>
    </row>
    <row r="1658">
      <c r="A1658" s="4" t="inlineStr">
        <is>
          <t>SERV-11654</t>
        </is>
      </c>
      <c r="B1658" s="5" t="inlineStr">
        <is>
          <t>Guardas Municipais e Fiscais de Postura</t>
        </is>
      </c>
      <c r="C1658" s="4" t="inlineStr">
        <is>
          <t>Efetivo Concursado</t>
        </is>
      </c>
      <c r="D1658" s="4" t="inlineStr">
        <is>
          <t>SEC-SEG</t>
        </is>
      </c>
      <c r="E1658" s="6" t="n">
        <v>5318.01</v>
      </c>
      <c r="F1658" s="6">
        <f>E1658*0.22</f>
        <v/>
      </c>
      <c r="G1658" s="6">
        <f>E1658+F1658</f>
        <v/>
      </c>
      <c r="H1658" s="10" t="n">
        <v>7</v>
      </c>
      <c r="I1658" s="7">
        <f>H1658/(180*0.714)</f>
        <v/>
      </c>
    </row>
    <row r="1659">
      <c r="A1659" s="4" t="inlineStr">
        <is>
          <t>SERV-11655</t>
        </is>
      </c>
      <c r="B1659" s="5" t="inlineStr">
        <is>
          <t>Guardas Municipais e Fiscais de Postura</t>
        </is>
      </c>
      <c r="C1659" s="4" t="inlineStr">
        <is>
          <t>Efetivo Concursado</t>
        </is>
      </c>
      <c r="D1659" s="4" t="inlineStr">
        <is>
          <t>SEC-SEG</t>
        </is>
      </c>
      <c r="E1659" s="6" t="n">
        <v>5196.37</v>
      </c>
      <c r="F1659" s="6">
        <f>E1659*0.22</f>
        <v/>
      </c>
      <c r="G1659" s="6">
        <f>E1659+F1659</f>
        <v/>
      </c>
      <c r="H1659" s="10" t="n">
        <v>5</v>
      </c>
      <c r="I1659" s="7">
        <f>H1659/(180*0.714)</f>
        <v/>
      </c>
    </row>
    <row r="1660">
      <c r="A1660" s="4" t="inlineStr">
        <is>
          <t>SERV-11656</t>
        </is>
      </c>
      <c r="B1660" s="5" t="inlineStr">
        <is>
          <t>Guardas Municipais e Fiscais de Postura</t>
        </is>
      </c>
      <c r="C1660" s="4" t="inlineStr">
        <is>
          <t>Efetivo Concursado</t>
        </is>
      </c>
      <c r="D1660" s="4" t="inlineStr">
        <is>
          <t>SEC-SEG</t>
        </is>
      </c>
      <c r="E1660" s="6" t="n">
        <v>4734.28</v>
      </c>
      <c r="F1660" s="6">
        <f>E1660*0.22</f>
        <v/>
      </c>
      <c r="G1660" s="6">
        <f>E1660+F1660</f>
        <v/>
      </c>
      <c r="H1660" s="10" t="n">
        <v>2</v>
      </c>
      <c r="I1660" s="7">
        <f>H1660/(180*0.714)</f>
        <v/>
      </c>
    </row>
    <row r="1661">
      <c r="A1661" s="4" t="inlineStr">
        <is>
          <t>SERV-11657</t>
        </is>
      </c>
      <c r="B1661" s="5" t="inlineStr">
        <is>
          <t>Guardas Municipais e Fiscais de Postura</t>
        </is>
      </c>
      <c r="C1661" s="4" t="inlineStr">
        <is>
          <t>Efetivo Concursado</t>
        </is>
      </c>
      <c r="D1661" s="4" t="inlineStr">
        <is>
          <t>SEC-SEG</t>
        </is>
      </c>
      <c r="E1661" s="6" t="n">
        <v>4627.49</v>
      </c>
      <c r="F1661" s="6">
        <f>E1661*0.22</f>
        <v/>
      </c>
      <c r="G1661" s="6">
        <f>E1661+F1661</f>
        <v/>
      </c>
      <c r="H1661" s="10" t="n">
        <v>3</v>
      </c>
      <c r="I1661" s="7">
        <f>H1661/(180*0.714)</f>
        <v/>
      </c>
    </row>
    <row r="1662">
      <c r="A1662" s="4" t="inlineStr">
        <is>
          <t>SERV-11658</t>
        </is>
      </c>
      <c r="B1662" s="5" t="inlineStr">
        <is>
          <t>Guardas Municipais e Fiscais de Postura</t>
        </is>
      </c>
      <c r="C1662" s="4" t="inlineStr">
        <is>
          <t>Efetivo Concursado</t>
        </is>
      </c>
      <c r="D1662" s="4" t="inlineStr">
        <is>
          <t>SEC-SEG</t>
        </is>
      </c>
      <c r="E1662" s="6" t="n">
        <v>4658.3</v>
      </c>
      <c r="F1662" s="6">
        <f>E1662*0.22</f>
        <v/>
      </c>
      <c r="G1662" s="6">
        <f>E1662+F1662</f>
        <v/>
      </c>
      <c r="H1662" s="10" t="n">
        <v>3</v>
      </c>
      <c r="I1662" s="7">
        <f>H1662/(180*0.714)</f>
        <v/>
      </c>
    </row>
    <row r="1663">
      <c r="A1663" s="4" t="inlineStr">
        <is>
          <t>SERV-11659</t>
        </is>
      </c>
      <c r="B1663" s="5" t="inlineStr">
        <is>
          <t>Guardas Municipais e Fiscais de Postura</t>
        </is>
      </c>
      <c r="C1663" s="4" t="inlineStr">
        <is>
          <t>Efetivo Concursado</t>
        </is>
      </c>
      <c r="D1663" s="4" t="inlineStr">
        <is>
          <t>SEC-SEG</t>
        </is>
      </c>
      <c r="E1663" s="6" t="n">
        <v>4805.71</v>
      </c>
      <c r="F1663" s="6">
        <f>E1663*0.22</f>
        <v/>
      </c>
      <c r="G1663" s="6">
        <f>E1663+F1663</f>
        <v/>
      </c>
      <c r="H1663" s="10" t="n">
        <v>7</v>
      </c>
      <c r="I1663" s="7">
        <f>H1663/(180*0.714)</f>
        <v/>
      </c>
    </row>
    <row r="1664">
      <c r="A1664" s="4" t="inlineStr">
        <is>
          <t>SERV-11660</t>
        </is>
      </c>
      <c r="B1664" s="5" t="inlineStr">
        <is>
          <t>Guardas Municipais e Fiscais de Postura</t>
        </is>
      </c>
      <c r="C1664" s="4" t="inlineStr">
        <is>
          <t>Efetivo Concursado</t>
        </is>
      </c>
      <c r="D1664" s="4" t="inlineStr">
        <is>
          <t>SEC-SEG</t>
        </is>
      </c>
      <c r="E1664" s="6" t="n">
        <v>5176.18</v>
      </c>
      <c r="F1664" s="6">
        <f>E1664*0.22</f>
        <v/>
      </c>
      <c r="G1664" s="6">
        <f>E1664+F1664</f>
        <v/>
      </c>
      <c r="H1664" s="10" t="n">
        <v>7</v>
      </c>
      <c r="I1664" s="7">
        <f>H1664/(180*0.714)</f>
        <v/>
      </c>
    </row>
    <row r="1665">
      <c r="A1665" s="4" t="inlineStr">
        <is>
          <t>SERV-11661</t>
        </is>
      </c>
      <c r="B1665" s="5" t="inlineStr">
        <is>
          <t>Guardas Municipais e Fiscais de Postura</t>
        </is>
      </c>
      <c r="C1665" s="4" t="inlineStr">
        <is>
          <t>Efetivo Concursado</t>
        </is>
      </c>
      <c r="D1665" s="4" t="inlineStr">
        <is>
          <t>SEC-SEG</t>
        </is>
      </c>
      <c r="E1665" s="6" t="n">
        <v>5444.67</v>
      </c>
      <c r="F1665" s="6">
        <f>E1665*0.22</f>
        <v/>
      </c>
      <c r="G1665" s="6">
        <f>E1665+F1665</f>
        <v/>
      </c>
      <c r="H1665" s="10" t="n">
        <v>6</v>
      </c>
      <c r="I1665" s="7">
        <f>H1665/(180*0.714)</f>
        <v/>
      </c>
    </row>
    <row r="1666">
      <c r="A1666" s="4" t="inlineStr">
        <is>
          <t>SERV-11662</t>
        </is>
      </c>
      <c r="B1666" s="5" t="inlineStr">
        <is>
          <t>Guardas Municipais e Fiscais de Postura</t>
        </is>
      </c>
      <c r="C1666" s="4" t="inlineStr">
        <is>
          <t>Efetivo Concursado</t>
        </is>
      </c>
      <c r="D1666" s="4" t="inlineStr">
        <is>
          <t>SEC-SEG</t>
        </is>
      </c>
      <c r="E1666" s="6" t="n">
        <v>4982.47</v>
      </c>
      <c r="F1666" s="6">
        <f>E1666*0.22</f>
        <v/>
      </c>
      <c r="G1666" s="6">
        <f>E1666+F1666</f>
        <v/>
      </c>
      <c r="H1666" s="10" t="n">
        <v>9</v>
      </c>
      <c r="I1666" s="7">
        <f>H1666/(180*0.714)</f>
        <v/>
      </c>
    </row>
    <row r="1667">
      <c r="A1667" s="4" t="inlineStr">
        <is>
          <t>SERV-11663</t>
        </is>
      </c>
      <c r="B1667" s="5" t="inlineStr">
        <is>
          <t>Guardas Municipais e Fiscais de Postura</t>
        </is>
      </c>
      <c r="C1667" s="4" t="inlineStr">
        <is>
          <t>Efetivo Concursado</t>
        </is>
      </c>
      <c r="D1667" s="4" t="inlineStr">
        <is>
          <t>SEC-SEG</t>
        </is>
      </c>
      <c r="E1667" s="6" t="n">
        <v>5345.3</v>
      </c>
      <c r="F1667" s="6">
        <f>E1667*0.22</f>
        <v/>
      </c>
      <c r="G1667" s="6">
        <f>E1667+F1667</f>
        <v/>
      </c>
      <c r="H1667" s="10" t="n">
        <v>9</v>
      </c>
      <c r="I1667" s="7">
        <f>H1667/(180*0.714)</f>
        <v/>
      </c>
    </row>
    <row r="1668">
      <c r="A1668" s="4" t="inlineStr">
        <is>
          <t>SERV-11664</t>
        </is>
      </c>
      <c r="B1668" s="5" t="inlineStr">
        <is>
          <t>Guardas Municipais e Fiscais de Postura</t>
        </is>
      </c>
      <c r="C1668" s="4" t="inlineStr">
        <is>
          <t>Efetivo Concursado</t>
        </is>
      </c>
      <c r="D1668" s="4" t="inlineStr">
        <is>
          <t>SEC-SEG</t>
        </is>
      </c>
      <c r="E1668" s="6" t="n">
        <v>5093.01</v>
      </c>
      <c r="F1668" s="6">
        <f>E1668*0.22</f>
        <v/>
      </c>
      <c r="G1668" s="6">
        <f>E1668+F1668</f>
        <v/>
      </c>
      <c r="H1668" s="10" t="n">
        <v>9</v>
      </c>
      <c r="I1668" s="7">
        <f>H1668/(180*0.714)</f>
        <v/>
      </c>
    </row>
    <row r="1669">
      <c r="A1669" s="4" t="inlineStr">
        <is>
          <t>SERV-11665</t>
        </is>
      </c>
      <c r="B1669" s="5" t="inlineStr">
        <is>
          <t>Guardas Municipais e Fiscais de Postura</t>
        </is>
      </c>
      <c r="C1669" s="4" t="inlineStr">
        <is>
          <t>Efetivo Concursado</t>
        </is>
      </c>
      <c r="D1669" s="4" t="inlineStr">
        <is>
          <t>SEC-SEG</t>
        </is>
      </c>
      <c r="E1669" s="6" t="n">
        <v>5163.6</v>
      </c>
      <c r="F1669" s="6">
        <f>E1669*0.22</f>
        <v/>
      </c>
      <c r="G1669" s="6">
        <f>E1669+F1669</f>
        <v/>
      </c>
      <c r="H1669" s="10" t="n">
        <v>9</v>
      </c>
      <c r="I1669" s="7">
        <f>H1669/(180*0.714)</f>
        <v/>
      </c>
    </row>
    <row r="1670">
      <c r="A1670" s="4" t="inlineStr">
        <is>
          <t>SERV-11666</t>
        </is>
      </c>
      <c r="B1670" s="5" t="inlineStr">
        <is>
          <t>Guardas Municipais e Fiscais de Postura</t>
        </is>
      </c>
      <c r="C1670" s="4" t="inlineStr">
        <is>
          <t>Efetivo Concursado</t>
        </is>
      </c>
      <c r="D1670" s="4" t="inlineStr">
        <is>
          <t>SEC-SEG</t>
        </is>
      </c>
      <c r="E1670" s="6" t="n">
        <v>4871.9</v>
      </c>
      <c r="F1670" s="6">
        <f>E1670*0.22</f>
        <v/>
      </c>
      <c r="G1670" s="6">
        <f>E1670+F1670</f>
        <v/>
      </c>
      <c r="H1670" s="10" t="n">
        <v>4</v>
      </c>
      <c r="I1670" s="7">
        <f>H1670/(180*0.714)</f>
        <v/>
      </c>
    </row>
    <row r="1671">
      <c r="A1671" s="4" t="inlineStr">
        <is>
          <t>SERV-11667</t>
        </is>
      </c>
      <c r="B1671" s="5" t="inlineStr">
        <is>
          <t>Guardas Municipais e Fiscais de Postura</t>
        </is>
      </c>
      <c r="C1671" s="4" t="inlineStr">
        <is>
          <t>Efetivo Concursado</t>
        </is>
      </c>
      <c r="D1671" s="4" t="inlineStr">
        <is>
          <t>SEC-SEG</t>
        </is>
      </c>
      <c r="E1671" s="6" t="n">
        <v>4970.55</v>
      </c>
      <c r="F1671" s="6">
        <f>E1671*0.22</f>
        <v/>
      </c>
      <c r="G1671" s="6">
        <f>E1671+F1671</f>
        <v/>
      </c>
      <c r="H1671" s="10" t="n">
        <v>8</v>
      </c>
      <c r="I1671" s="7">
        <f>H1671/(180*0.714)</f>
        <v/>
      </c>
    </row>
    <row r="1672">
      <c r="A1672" s="4" t="inlineStr">
        <is>
          <t>SERV-11668</t>
        </is>
      </c>
      <c r="B1672" s="5" t="inlineStr">
        <is>
          <t>Guardas Municipais e Fiscais de Postura</t>
        </is>
      </c>
      <c r="C1672" s="4" t="inlineStr">
        <is>
          <t>Efetivo Concursado</t>
        </is>
      </c>
      <c r="D1672" s="4" t="inlineStr">
        <is>
          <t>SEC-SEG</t>
        </is>
      </c>
      <c r="E1672" s="6" t="n">
        <v>4688.98</v>
      </c>
      <c r="F1672" s="6">
        <f>E1672*0.22</f>
        <v/>
      </c>
      <c r="G1672" s="6">
        <f>E1672+F1672</f>
        <v/>
      </c>
      <c r="H1672" s="10" t="n">
        <v>3</v>
      </c>
      <c r="I1672" s="7">
        <f>H1672/(180*0.714)</f>
        <v/>
      </c>
    </row>
    <row r="1673">
      <c r="A1673" s="4" t="inlineStr">
        <is>
          <t>SERV-11669</t>
        </is>
      </c>
      <c r="B1673" s="5" t="inlineStr">
        <is>
          <t>Guardas Municipais e Fiscais de Postura</t>
        </is>
      </c>
      <c r="C1673" s="4" t="inlineStr">
        <is>
          <t>Efetivo Concursado</t>
        </is>
      </c>
      <c r="D1673" s="4" t="inlineStr">
        <is>
          <t>SEC-SEG</t>
        </is>
      </c>
      <c r="E1673" s="6" t="n">
        <v>5447.22</v>
      </c>
      <c r="F1673" s="6">
        <f>E1673*0.22</f>
        <v/>
      </c>
      <c r="G1673" s="6">
        <f>E1673+F1673</f>
        <v/>
      </c>
      <c r="H1673" s="10" t="n">
        <v>7</v>
      </c>
      <c r="I1673" s="7">
        <f>H1673/(180*0.714)</f>
        <v/>
      </c>
    </row>
    <row r="1674">
      <c r="A1674" s="4" t="inlineStr">
        <is>
          <t>SERV-11670</t>
        </is>
      </c>
      <c r="B1674" s="5" t="inlineStr">
        <is>
          <t>Guardas Municipais e Fiscais de Postura</t>
        </is>
      </c>
      <c r="C1674" s="4" t="inlineStr">
        <is>
          <t>Efetivo Concursado</t>
        </is>
      </c>
      <c r="D1674" s="4" t="inlineStr">
        <is>
          <t>SEC-SEG</t>
        </is>
      </c>
      <c r="E1674" s="6" t="n">
        <v>4764.76</v>
      </c>
      <c r="F1674" s="6">
        <f>E1674*0.22</f>
        <v/>
      </c>
      <c r="G1674" s="6">
        <f>E1674+F1674</f>
        <v/>
      </c>
      <c r="H1674" s="10" t="n">
        <v>5</v>
      </c>
      <c r="I1674" s="7">
        <f>H1674/(180*0.714)</f>
        <v/>
      </c>
    </row>
    <row r="1675">
      <c r="A1675" s="4" t="inlineStr">
        <is>
          <t>SERV-11671</t>
        </is>
      </c>
      <c r="B1675" s="5" t="inlineStr">
        <is>
          <t>Guardas Municipais e Fiscais de Postura</t>
        </is>
      </c>
      <c r="C1675" s="4" t="inlineStr">
        <is>
          <t>Efetivo Concursado</t>
        </is>
      </c>
      <c r="D1675" s="4" t="inlineStr">
        <is>
          <t>SEC-SEG</t>
        </is>
      </c>
      <c r="E1675" s="6" t="n">
        <v>4645.84</v>
      </c>
      <c r="F1675" s="6">
        <f>E1675*0.22</f>
        <v/>
      </c>
      <c r="G1675" s="6">
        <f>E1675+F1675</f>
        <v/>
      </c>
      <c r="H1675" s="10" t="n">
        <v>8</v>
      </c>
      <c r="I1675" s="7">
        <f>H1675/(180*0.714)</f>
        <v/>
      </c>
    </row>
    <row r="1676">
      <c r="A1676" s="4" t="inlineStr">
        <is>
          <t>SERV-11672</t>
        </is>
      </c>
      <c r="B1676" s="5" t="inlineStr">
        <is>
          <t>Guardas Municipais e Fiscais de Postura</t>
        </is>
      </c>
      <c r="C1676" s="4" t="inlineStr">
        <is>
          <t>Efetivo Concursado</t>
        </is>
      </c>
      <c r="D1676" s="4" t="inlineStr">
        <is>
          <t>SEC-SEG</t>
        </is>
      </c>
      <c r="E1676" s="6" t="n">
        <v>4894.96</v>
      </c>
      <c r="F1676" s="6">
        <f>E1676*0.22</f>
        <v/>
      </c>
      <c r="G1676" s="6">
        <f>E1676+F1676</f>
        <v/>
      </c>
      <c r="H1676" s="10" t="n">
        <v>8</v>
      </c>
      <c r="I1676" s="7">
        <f>H1676/(180*0.714)</f>
        <v/>
      </c>
    </row>
    <row r="1677">
      <c r="A1677" s="4" t="inlineStr">
        <is>
          <t>SERV-11673</t>
        </is>
      </c>
      <c r="B1677" s="5" t="inlineStr">
        <is>
          <t>Guardas Municipais e Fiscais de Postura</t>
        </is>
      </c>
      <c r="C1677" s="4" t="inlineStr">
        <is>
          <t>Efetivo Concursado</t>
        </is>
      </c>
      <c r="D1677" s="4" t="inlineStr">
        <is>
          <t>SEC-SEG</t>
        </is>
      </c>
      <c r="E1677" s="6" t="n">
        <v>5296.47</v>
      </c>
      <c r="F1677" s="6">
        <f>E1677*0.22</f>
        <v/>
      </c>
      <c r="G1677" s="6">
        <f>E1677+F1677</f>
        <v/>
      </c>
      <c r="H1677" s="10" t="n">
        <v>8</v>
      </c>
      <c r="I1677" s="7">
        <f>H1677/(180*0.714)</f>
        <v/>
      </c>
    </row>
    <row r="1678">
      <c r="A1678" s="4" t="inlineStr">
        <is>
          <t>SERV-11674</t>
        </is>
      </c>
      <c r="B1678" s="5" t="inlineStr">
        <is>
          <t>Guardas Municipais e Fiscais de Postura</t>
        </is>
      </c>
      <c r="C1678" s="4" t="inlineStr">
        <is>
          <t>Efetivo Concursado</t>
        </is>
      </c>
      <c r="D1678" s="4" t="inlineStr">
        <is>
          <t>SEC-SEG</t>
        </is>
      </c>
      <c r="E1678" s="6" t="n">
        <v>5055.38</v>
      </c>
      <c r="F1678" s="6">
        <f>E1678*0.22</f>
        <v/>
      </c>
      <c r="G1678" s="6">
        <f>E1678+F1678</f>
        <v/>
      </c>
      <c r="H1678" s="10" t="n">
        <v>8</v>
      </c>
      <c r="I1678" s="7">
        <f>H1678/(180*0.714)</f>
        <v/>
      </c>
    </row>
    <row r="1679">
      <c r="A1679" s="4" t="inlineStr">
        <is>
          <t>SERV-11675</t>
        </is>
      </c>
      <c r="B1679" s="5" t="inlineStr">
        <is>
          <t>Guardas Municipais e Fiscais de Postura</t>
        </is>
      </c>
      <c r="C1679" s="4" t="inlineStr">
        <is>
          <t>Efetivo Concursado</t>
        </is>
      </c>
      <c r="D1679" s="4" t="inlineStr">
        <is>
          <t>SEC-SEG</t>
        </is>
      </c>
      <c r="E1679" s="6" t="n">
        <v>5135.92</v>
      </c>
      <c r="F1679" s="6">
        <f>E1679*0.22</f>
        <v/>
      </c>
      <c r="G1679" s="6">
        <f>E1679+F1679</f>
        <v/>
      </c>
      <c r="H1679" s="10" t="n">
        <v>5</v>
      </c>
      <c r="I1679" s="7">
        <f>H1679/(180*0.714)</f>
        <v/>
      </c>
    </row>
    <row r="1680">
      <c r="A1680" s="4" t="inlineStr">
        <is>
          <t>SERV-11676</t>
        </is>
      </c>
      <c r="B1680" s="5" t="inlineStr">
        <is>
          <t>Guardas Municipais e Fiscais de Postura</t>
        </is>
      </c>
      <c r="C1680" s="4" t="inlineStr">
        <is>
          <t>Efetivo Concursado</t>
        </is>
      </c>
      <c r="D1680" s="4" t="inlineStr">
        <is>
          <t>SEC-SEG</t>
        </is>
      </c>
      <c r="E1680" s="6" t="n">
        <v>5290.9</v>
      </c>
      <c r="F1680" s="6">
        <f>E1680*0.22</f>
        <v/>
      </c>
      <c r="G1680" s="6">
        <f>E1680+F1680</f>
        <v/>
      </c>
      <c r="H1680" s="10" t="n">
        <v>4</v>
      </c>
      <c r="I1680" s="7">
        <f>H1680/(180*0.714)</f>
        <v/>
      </c>
    </row>
    <row r="1681">
      <c r="A1681" s="4" t="inlineStr">
        <is>
          <t>SERV-11677</t>
        </is>
      </c>
      <c r="B1681" s="5" t="inlineStr">
        <is>
          <t>Guardas Municipais e Fiscais de Postura</t>
        </is>
      </c>
      <c r="C1681" s="4" t="inlineStr">
        <is>
          <t>Efetivo Concursado</t>
        </is>
      </c>
      <c r="D1681" s="4" t="inlineStr">
        <is>
          <t>SEC-SEG</t>
        </is>
      </c>
      <c r="E1681" s="6" t="n">
        <v>5289.99</v>
      </c>
      <c r="F1681" s="6">
        <f>E1681*0.22</f>
        <v/>
      </c>
      <c r="G1681" s="6">
        <f>E1681+F1681</f>
        <v/>
      </c>
      <c r="H1681" s="10" t="n">
        <v>9</v>
      </c>
      <c r="I1681" s="7">
        <f>H1681/(180*0.714)</f>
        <v/>
      </c>
    </row>
    <row r="1682">
      <c r="A1682" s="4" t="inlineStr">
        <is>
          <t>SERV-11678</t>
        </is>
      </c>
      <c r="B1682" s="5" t="inlineStr">
        <is>
          <t>Guardas Municipais e Fiscais de Postura</t>
        </is>
      </c>
      <c r="C1682" s="4" t="inlineStr">
        <is>
          <t>Efetivo Concursado</t>
        </is>
      </c>
      <c r="D1682" s="4" t="inlineStr">
        <is>
          <t>SEC-SEG</t>
        </is>
      </c>
      <c r="E1682" s="6" t="n">
        <v>5423.94</v>
      </c>
      <c r="F1682" s="6">
        <f>E1682*0.22</f>
        <v/>
      </c>
      <c r="G1682" s="6">
        <f>E1682+F1682</f>
        <v/>
      </c>
      <c r="H1682" s="10" t="n">
        <v>4</v>
      </c>
      <c r="I1682" s="7">
        <f>H1682/(180*0.714)</f>
        <v/>
      </c>
    </row>
    <row r="1683">
      <c r="A1683" s="4" t="inlineStr">
        <is>
          <t>SERV-11679</t>
        </is>
      </c>
      <c r="B1683" s="5" t="inlineStr">
        <is>
          <t>Guardas Municipais e Fiscais de Postura</t>
        </is>
      </c>
      <c r="C1683" s="4" t="inlineStr">
        <is>
          <t>Efetivo Concursado</t>
        </is>
      </c>
      <c r="D1683" s="4" t="inlineStr">
        <is>
          <t>SEC-SEG</t>
        </is>
      </c>
      <c r="E1683" s="6" t="n">
        <v>5076.31</v>
      </c>
      <c r="F1683" s="6">
        <f>E1683*0.22</f>
        <v/>
      </c>
      <c r="G1683" s="6">
        <f>E1683+F1683</f>
        <v/>
      </c>
      <c r="H1683" s="10" t="n">
        <v>2</v>
      </c>
      <c r="I1683" s="7">
        <f>H1683/(180*0.714)</f>
        <v/>
      </c>
    </row>
    <row r="1684">
      <c r="A1684" s="4" t="inlineStr">
        <is>
          <t>SERV-11680</t>
        </is>
      </c>
      <c r="B1684" s="5" t="inlineStr">
        <is>
          <t>Guardas Municipais e Fiscais de Postura</t>
        </is>
      </c>
      <c r="C1684" s="4" t="inlineStr">
        <is>
          <t>Efetivo Concursado</t>
        </is>
      </c>
      <c r="D1684" s="4" t="inlineStr">
        <is>
          <t>SEC-SEG</t>
        </is>
      </c>
      <c r="E1684" s="6" t="n">
        <v>5156.97</v>
      </c>
      <c r="F1684" s="6">
        <f>E1684*0.22</f>
        <v/>
      </c>
      <c r="G1684" s="6">
        <f>E1684+F1684</f>
        <v/>
      </c>
      <c r="H1684" s="10" t="n">
        <v>7</v>
      </c>
      <c r="I1684" s="7">
        <f>H1684/(180*0.714)</f>
        <v/>
      </c>
    </row>
    <row r="1685">
      <c r="A1685" s="4" t="inlineStr">
        <is>
          <t>SERV-11681</t>
        </is>
      </c>
      <c r="B1685" s="5" t="inlineStr">
        <is>
          <t>Guardas Municipais e Fiscais de Postura</t>
        </is>
      </c>
      <c r="C1685" s="4" t="inlineStr">
        <is>
          <t>Efetivo Concursado</t>
        </is>
      </c>
      <c r="D1685" s="4" t="inlineStr">
        <is>
          <t>SEC-SEG</t>
        </is>
      </c>
      <c r="E1685" s="6" t="n">
        <v>5177.51</v>
      </c>
      <c r="F1685" s="6">
        <f>E1685*0.22</f>
        <v/>
      </c>
      <c r="G1685" s="6">
        <f>E1685+F1685</f>
        <v/>
      </c>
      <c r="H1685" s="10" t="n">
        <v>6</v>
      </c>
      <c r="I1685" s="7">
        <f>H1685/(180*0.714)</f>
        <v/>
      </c>
    </row>
    <row r="1686">
      <c r="A1686" s="4" t="inlineStr">
        <is>
          <t>SERV-11682</t>
        </is>
      </c>
      <c r="B1686" s="5" t="inlineStr">
        <is>
          <t>Guardas Municipais e Fiscais de Postura</t>
        </is>
      </c>
      <c r="C1686" s="4" t="inlineStr">
        <is>
          <t>Efetivo Concursado</t>
        </is>
      </c>
      <c r="D1686" s="4" t="inlineStr">
        <is>
          <t>SEC-SEG</t>
        </is>
      </c>
      <c r="E1686" s="6" t="n">
        <v>5247.67</v>
      </c>
      <c r="F1686" s="6">
        <f>E1686*0.22</f>
        <v/>
      </c>
      <c r="G1686" s="6">
        <f>E1686+F1686</f>
        <v/>
      </c>
      <c r="H1686" s="10" t="n">
        <v>6</v>
      </c>
      <c r="I1686" s="7">
        <f>H1686/(180*0.714)</f>
        <v/>
      </c>
    </row>
    <row r="1687">
      <c r="A1687" s="4" t="inlineStr">
        <is>
          <t>SERV-11683</t>
        </is>
      </c>
      <c r="B1687" s="5" t="inlineStr">
        <is>
          <t>Guardas Municipais e Fiscais de Postura</t>
        </is>
      </c>
      <c r="C1687" s="4" t="inlineStr">
        <is>
          <t>Efetivo Concursado</t>
        </is>
      </c>
      <c r="D1687" s="4" t="inlineStr">
        <is>
          <t>SEC-SEG</t>
        </is>
      </c>
      <c r="E1687" s="6" t="n">
        <v>5038.67</v>
      </c>
      <c r="F1687" s="6">
        <f>E1687*0.22</f>
        <v/>
      </c>
      <c r="G1687" s="6">
        <f>E1687+F1687</f>
        <v/>
      </c>
      <c r="H1687" s="10" t="n">
        <v>6</v>
      </c>
      <c r="I1687" s="7">
        <f>H1687/(180*0.714)</f>
        <v/>
      </c>
    </row>
    <row r="1688">
      <c r="A1688" s="4" t="inlineStr">
        <is>
          <t>SERV-11684</t>
        </is>
      </c>
      <c r="B1688" s="5" t="inlineStr">
        <is>
          <t>Guardas Municipais e Fiscais de Postura</t>
        </is>
      </c>
      <c r="C1688" s="4" t="inlineStr">
        <is>
          <t>Efetivo Concursado</t>
        </is>
      </c>
      <c r="D1688" s="4" t="inlineStr">
        <is>
          <t>SEC-SEG</t>
        </is>
      </c>
      <c r="E1688" s="6" t="n">
        <v>4796.16</v>
      </c>
      <c r="F1688" s="6">
        <f>E1688*0.22</f>
        <v/>
      </c>
      <c r="G1688" s="6">
        <f>E1688+F1688</f>
        <v/>
      </c>
      <c r="H1688" s="10" t="n">
        <v>4</v>
      </c>
      <c r="I1688" s="7">
        <f>H1688/(180*0.714)</f>
        <v/>
      </c>
    </row>
    <row r="1689">
      <c r="A1689" s="4" t="inlineStr">
        <is>
          <t>SERV-11685</t>
        </is>
      </c>
      <c r="B1689" s="5" t="inlineStr">
        <is>
          <t>Guardas Municipais e Fiscais de Postura</t>
        </is>
      </c>
      <c r="C1689" s="4" t="inlineStr">
        <is>
          <t>Efetivo Concursado</t>
        </is>
      </c>
      <c r="D1689" s="4" t="inlineStr">
        <is>
          <t>SEC-SEG</t>
        </is>
      </c>
      <c r="E1689" s="6" t="n">
        <v>5071.29</v>
      </c>
      <c r="F1689" s="6">
        <f>E1689*0.22</f>
        <v/>
      </c>
      <c r="G1689" s="6">
        <f>E1689+F1689</f>
        <v/>
      </c>
      <c r="H1689" s="10" t="n">
        <v>9</v>
      </c>
      <c r="I1689" s="7">
        <f>H1689/(180*0.714)</f>
        <v/>
      </c>
    </row>
    <row r="1690">
      <c r="A1690" s="4" t="inlineStr">
        <is>
          <t>SERV-11686</t>
        </is>
      </c>
      <c r="B1690" s="5" t="inlineStr">
        <is>
          <t>Guardas Municipais e Fiscais de Postura</t>
        </is>
      </c>
      <c r="C1690" s="4" t="inlineStr">
        <is>
          <t>Efetivo Concursado</t>
        </is>
      </c>
      <c r="D1690" s="4" t="inlineStr">
        <is>
          <t>SEC-SEG</t>
        </is>
      </c>
      <c r="E1690" s="6" t="n">
        <v>5350.49</v>
      </c>
      <c r="F1690" s="6">
        <f>E1690*0.22</f>
        <v/>
      </c>
      <c r="G1690" s="6">
        <f>E1690+F1690</f>
        <v/>
      </c>
      <c r="H1690" s="10" t="n">
        <v>5</v>
      </c>
      <c r="I1690" s="7">
        <f>H1690/(180*0.714)</f>
        <v/>
      </c>
    </row>
    <row r="1691">
      <c r="A1691" s="4" t="inlineStr">
        <is>
          <t>SERV-11687</t>
        </is>
      </c>
      <c r="B1691" s="5" t="inlineStr">
        <is>
          <t>Guardas Municipais e Fiscais de Postura</t>
        </is>
      </c>
      <c r="C1691" s="4" t="inlineStr">
        <is>
          <t>Efetivo Concursado</t>
        </is>
      </c>
      <c r="D1691" s="4" t="inlineStr">
        <is>
          <t>SEC-SEG</t>
        </is>
      </c>
      <c r="E1691" s="6" t="n">
        <v>4763.97</v>
      </c>
      <c r="F1691" s="6">
        <f>E1691*0.22</f>
        <v/>
      </c>
      <c r="G1691" s="6">
        <f>E1691+F1691</f>
        <v/>
      </c>
      <c r="H1691" s="10" t="n">
        <v>9</v>
      </c>
      <c r="I1691" s="7">
        <f>H1691/(180*0.714)</f>
        <v/>
      </c>
    </row>
    <row r="1692">
      <c r="A1692" s="4" t="inlineStr">
        <is>
          <t>SERV-11688</t>
        </is>
      </c>
      <c r="B1692" s="5" t="inlineStr">
        <is>
          <t>Guardas Municipais e Fiscais de Postura</t>
        </is>
      </c>
      <c r="C1692" s="4" t="inlineStr">
        <is>
          <t>Efetivo Concursado</t>
        </is>
      </c>
      <c r="D1692" s="4" t="inlineStr">
        <is>
          <t>SEC-SEG</t>
        </is>
      </c>
      <c r="E1692" s="6" t="n">
        <v>4792.98</v>
      </c>
      <c r="F1692" s="6">
        <f>E1692*0.22</f>
        <v/>
      </c>
      <c r="G1692" s="6">
        <f>E1692+F1692</f>
        <v/>
      </c>
      <c r="H1692" s="10" t="n">
        <v>6</v>
      </c>
      <c r="I1692" s="7">
        <f>H1692/(180*0.714)</f>
        <v/>
      </c>
    </row>
    <row r="1693">
      <c r="A1693" s="4" t="inlineStr">
        <is>
          <t>SERV-11689</t>
        </is>
      </c>
      <c r="B1693" s="5" t="inlineStr">
        <is>
          <t>Guardas Municipais e Fiscais de Postura</t>
        </is>
      </c>
      <c r="C1693" s="4" t="inlineStr">
        <is>
          <t>Efetivo Concursado</t>
        </is>
      </c>
      <c r="D1693" s="4" t="inlineStr">
        <is>
          <t>SEC-SEG</t>
        </is>
      </c>
      <c r="E1693" s="6" t="n">
        <v>4585.63</v>
      </c>
      <c r="F1693" s="6">
        <f>E1693*0.22</f>
        <v/>
      </c>
      <c r="G1693" s="6">
        <f>E1693+F1693</f>
        <v/>
      </c>
      <c r="H1693" s="10" t="n">
        <v>9</v>
      </c>
      <c r="I1693" s="7">
        <f>H1693/(180*0.714)</f>
        <v/>
      </c>
    </row>
    <row r="1694">
      <c r="A1694" s="4" t="inlineStr">
        <is>
          <t>SERV-11690</t>
        </is>
      </c>
      <c r="B1694" s="5" t="inlineStr">
        <is>
          <t>Guardas Municipais e Fiscais de Postura</t>
        </is>
      </c>
      <c r="C1694" s="4" t="inlineStr">
        <is>
          <t>Efetivo Concursado</t>
        </is>
      </c>
      <c r="D1694" s="4" t="inlineStr">
        <is>
          <t>SEC-SEG</t>
        </is>
      </c>
      <c r="E1694" s="6" t="n">
        <v>5156.34</v>
      </c>
      <c r="F1694" s="6">
        <f>E1694*0.22</f>
        <v/>
      </c>
      <c r="G1694" s="6">
        <f>E1694+F1694</f>
        <v/>
      </c>
      <c r="H1694" s="10" t="n">
        <v>6</v>
      </c>
      <c r="I1694" s="7">
        <f>H1694/(180*0.714)</f>
        <v/>
      </c>
    </row>
    <row r="1695">
      <c r="A1695" s="4" t="inlineStr">
        <is>
          <t>SERV-11691</t>
        </is>
      </c>
      <c r="B1695" s="5" t="inlineStr">
        <is>
          <t>Guardas Municipais e Fiscais de Postura</t>
        </is>
      </c>
      <c r="C1695" s="4" t="inlineStr">
        <is>
          <t>Efetivo Concursado</t>
        </is>
      </c>
      <c r="D1695" s="4" t="inlineStr">
        <is>
          <t>SEC-SEG</t>
        </is>
      </c>
      <c r="E1695" s="6" t="n">
        <v>5257.24</v>
      </c>
      <c r="F1695" s="6">
        <f>E1695*0.22</f>
        <v/>
      </c>
      <c r="G1695" s="6">
        <f>E1695+F1695</f>
        <v/>
      </c>
      <c r="H1695" s="10" t="n">
        <v>4</v>
      </c>
      <c r="I1695" s="7">
        <f>H1695/(180*0.714)</f>
        <v/>
      </c>
    </row>
    <row r="1696">
      <c r="A1696" s="4" t="inlineStr">
        <is>
          <t>SERV-11692</t>
        </is>
      </c>
      <c r="B1696" s="5" t="inlineStr">
        <is>
          <t>Guardas Municipais e Fiscais de Postura</t>
        </is>
      </c>
      <c r="C1696" s="4" t="inlineStr">
        <is>
          <t>Efetivo Concursado</t>
        </is>
      </c>
      <c r="D1696" s="4" t="inlineStr">
        <is>
          <t>SEC-SEG</t>
        </is>
      </c>
      <c r="E1696" s="6" t="n">
        <v>4829.01</v>
      </c>
      <c r="F1696" s="6">
        <f>E1696*0.22</f>
        <v/>
      </c>
      <c r="G1696" s="6">
        <f>E1696+F1696</f>
        <v/>
      </c>
      <c r="H1696" s="10" t="n">
        <v>9</v>
      </c>
      <c r="I1696" s="7">
        <f>H1696/(180*0.714)</f>
        <v/>
      </c>
    </row>
    <row r="1697">
      <c r="A1697" s="4" t="inlineStr">
        <is>
          <t>SERV-11693</t>
        </is>
      </c>
      <c r="B1697" s="5" t="inlineStr">
        <is>
          <t>Guardas Municipais e Fiscais de Postura</t>
        </is>
      </c>
      <c r="C1697" s="4" t="inlineStr">
        <is>
          <t>Efetivo Concursado</t>
        </is>
      </c>
      <c r="D1697" s="4" t="inlineStr">
        <is>
          <t>SEC-SEG</t>
        </is>
      </c>
      <c r="E1697" s="6" t="n">
        <v>4900.11</v>
      </c>
      <c r="F1697" s="6">
        <f>E1697*0.22</f>
        <v/>
      </c>
      <c r="G1697" s="6">
        <f>E1697+F1697</f>
        <v/>
      </c>
      <c r="H1697" s="10" t="n">
        <v>4</v>
      </c>
      <c r="I1697" s="7">
        <f>H1697/(180*0.714)</f>
        <v/>
      </c>
    </row>
    <row r="1698">
      <c r="A1698" s="4" t="inlineStr">
        <is>
          <t>SERV-11694</t>
        </is>
      </c>
      <c r="B1698" s="5" t="inlineStr">
        <is>
          <t>Guardas Municipais e Fiscais de Postura</t>
        </is>
      </c>
      <c r="C1698" s="4" t="inlineStr">
        <is>
          <t>Efetivo Concursado</t>
        </is>
      </c>
      <c r="D1698" s="4" t="inlineStr">
        <is>
          <t>SEC-SEG</t>
        </is>
      </c>
      <c r="E1698" s="6" t="n">
        <v>5479.4</v>
      </c>
      <c r="F1698" s="6">
        <f>E1698*0.22</f>
        <v/>
      </c>
      <c r="G1698" s="6">
        <f>E1698+F1698</f>
        <v/>
      </c>
      <c r="H1698" s="10" t="n">
        <v>3</v>
      </c>
      <c r="I1698" s="7">
        <f>H1698/(180*0.714)</f>
        <v/>
      </c>
    </row>
    <row r="1699">
      <c r="A1699" s="4" t="inlineStr">
        <is>
          <t>SERV-11695</t>
        </is>
      </c>
      <c r="B1699" s="5" t="inlineStr">
        <is>
          <t>Guardas Municipais e Fiscais de Postura</t>
        </is>
      </c>
      <c r="C1699" s="4" t="inlineStr">
        <is>
          <t>Efetivo Concursado</t>
        </is>
      </c>
      <c r="D1699" s="4" t="inlineStr">
        <is>
          <t>SEC-SEG</t>
        </is>
      </c>
      <c r="E1699" s="6" t="n">
        <v>5457.21</v>
      </c>
      <c r="F1699" s="6">
        <f>E1699*0.22</f>
        <v/>
      </c>
      <c r="G1699" s="6">
        <f>E1699+F1699</f>
        <v/>
      </c>
      <c r="H1699" s="10" t="n">
        <v>8</v>
      </c>
      <c r="I1699" s="7">
        <f>H1699/(180*0.714)</f>
        <v/>
      </c>
    </row>
    <row r="1700">
      <c r="A1700" s="4" t="inlineStr">
        <is>
          <t>SERV-11696</t>
        </is>
      </c>
      <c r="B1700" s="5" t="inlineStr">
        <is>
          <t>Guardas Municipais e Fiscais de Postura</t>
        </is>
      </c>
      <c r="C1700" s="4" t="inlineStr">
        <is>
          <t>Efetivo Concursado</t>
        </is>
      </c>
      <c r="D1700" s="4" t="inlineStr">
        <is>
          <t>SEC-SEG</t>
        </is>
      </c>
      <c r="E1700" s="6" t="n">
        <v>5326</v>
      </c>
      <c r="F1700" s="6">
        <f>E1700*0.22</f>
        <v/>
      </c>
      <c r="G1700" s="6">
        <f>E1700+F1700</f>
        <v/>
      </c>
      <c r="H1700" s="10" t="n">
        <v>7</v>
      </c>
      <c r="I1700" s="7">
        <f>H1700/(180*0.714)</f>
        <v/>
      </c>
    </row>
    <row r="1701">
      <c r="A1701" s="4" t="inlineStr">
        <is>
          <t>SERV-11697</t>
        </is>
      </c>
      <c r="B1701" s="5" t="inlineStr">
        <is>
          <t>Guardas Municipais e Fiscais de Postura</t>
        </is>
      </c>
      <c r="C1701" s="4" t="inlineStr">
        <is>
          <t>Efetivo Concursado</t>
        </is>
      </c>
      <c r="D1701" s="4" t="inlineStr">
        <is>
          <t>SEC-SEG</t>
        </is>
      </c>
      <c r="E1701" s="6" t="n">
        <v>4802.28</v>
      </c>
      <c r="F1701" s="6">
        <f>E1701*0.22</f>
        <v/>
      </c>
      <c r="G1701" s="6">
        <f>E1701+F1701</f>
        <v/>
      </c>
      <c r="H1701" s="10" t="n">
        <v>4</v>
      </c>
      <c r="I1701" s="7">
        <f>H1701/(180*0.714)</f>
        <v/>
      </c>
    </row>
    <row r="1702">
      <c r="A1702" s="4" t="inlineStr">
        <is>
          <t>SERV-11698</t>
        </is>
      </c>
      <c r="B1702" s="5" t="inlineStr">
        <is>
          <t>Guardas Municipais e Fiscais de Postura</t>
        </is>
      </c>
      <c r="C1702" s="4" t="inlineStr">
        <is>
          <t>Efetivo Concursado</t>
        </is>
      </c>
      <c r="D1702" s="4" t="inlineStr">
        <is>
          <t>SEC-SEG</t>
        </is>
      </c>
      <c r="E1702" s="6" t="n">
        <v>5333.32</v>
      </c>
      <c r="F1702" s="6">
        <f>E1702*0.22</f>
        <v/>
      </c>
      <c r="G1702" s="6">
        <f>E1702+F1702</f>
        <v/>
      </c>
      <c r="H1702" s="10" t="n">
        <v>8</v>
      </c>
      <c r="I1702" s="7">
        <f>H1702/(180*0.714)</f>
        <v/>
      </c>
    </row>
    <row r="1703">
      <c r="A1703" s="4" t="inlineStr">
        <is>
          <t>SERV-11699</t>
        </is>
      </c>
      <c r="B1703" s="5" t="inlineStr">
        <is>
          <t>Guardas Municipais e Fiscais de Postura</t>
        </is>
      </c>
      <c r="C1703" s="4" t="inlineStr">
        <is>
          <t>Efetivo Concursado</t>
        </is>
      </c>
      <c r="D1703" s="4" t="inlineStr">
        <is>
          <t>SEC-SEG</t>
        </is>
      </c>
      <c r="E1703" s="6" t="n">
        <v>5165.66</v>
      </c>
      <c r="F1703" s="6">
        <f>E1703*0.22</f>
        <v/>
      </c>
      <c r="G1703" s="6">
        <f>E1703+F1703</f>
        <v/>
      </c>
      <c r="H1703" s="10" t="n">
        <v>4</v>
      </c>
      <c r="I1703" s="7">
        <f>H1703/(180*0.714)</f>
        <v/>
      </c>
    </row>
    <row r="1704">
      <c r="A1704" s="4" t="inlineStr">
        <is>
          <t>SERV-11700</t>
        </is>
      </c>
      <c r="B1704" s="5" t="inlineStr">
        <is>
          <t>Guardas Municipais e Fiscais de Postura</t>
        </is>
      </c>
      <c r="C1704" s="4" t="inlineStr">
        <is>
          <t>Efetivo Concursado</t>
        </is>
      </c>
      <c r="D1704" s="4" t="inlineStr">
        <is>
          <t>SEC-SEG</t>
        </is>
      </c>
      <c r="E1704" s="6" t="n">
        <v>5464.69</v>
      </c>
      <c r="F1704" s="6">
        <f>E1704*0.22</f>
        <v/>
      </c>
      <c r="G1704" s="6">
        <f>E1704+F1704</f>
        <v/>
      </c>
      <c r="H1704" s="10" t="n">
        <v>6</v>
      </c>
      <c r="I1704" s="7">
        <f>H1704/(180*0.714)</f>
        <v/>
      </c>
    </row>
    <row r="1705">
      <c r="A1705" s="4" t="inlineStr">
        <is>
          <t>SERV-11701</t>
        </is>
      </c>
      <c r="B1705" s="5" t="inlineStr">
        <is>
          <t>Guardas Municipais e Fiscais de Postura</t>
        </is>
      </c>
      <c r="C1705" s="4" t="inlineStr">
        <is>
          <t>Efetivo Concursado</t>
        </is>
      </c>
      <c r="D1705" s="4" t="inlineStr">
        <is>
          <t>SEC-SEG</t>
        </is>
      </c>
      <c r="E1705" s="6" t="n">
        <v>5482.79</v>
      </c>
      <c r="F1705" s="6">
        <f>E1705*0.22</f>
        <v/>
      </c>
      <c r="G1705" s="6">
        <f>E1705+F1705</f>
        <v/>
      </c>
      <c r="H1705" s="10" t="n">
        <v>3</v>
      </c>
      <c r="I1705" s="7">
        <f>H1705/(180*0.714)</f>
        <v/>
      </c>
    </row>
    <row r="1706">
      <c r="A1706" s="4" t="inlineStr">
        <is>
          <t>SERV-11702</t>
        </is>
      </c>
      <c r="B1706" s="5" t="inlineStr">
        <is>
          <t>Guardas Municipais e Fiscais de Postura</t>
        </is>
      </c>
      <c r="C1706" s="4" t="inlineStr">
        <is>
          <t>Efetivo Concursado</t>
        </is>
      </c>
      <c r="D1706" s="4" t="inlineStr">
        <is>
          <t>SEC-SEG</t>
        </is>
      </c>
      <c r="E1706" s="6" t="n">
        <v>4894.33</v>
      </c>
      <c r="F1706" s="6">
        <f>E1706*0.22</f>
        <v/>
      </c>
      <c r="G1706" s="6">
        <f>E1706+F1706</f>
        <v/>
      </c>
      <c r="H1706" s="10" t="n">
        <v>9</v>
      </c>
      <c r="I1706" s="7">
        <f>H1706/(180*0.714)</f>
        <v/>
      </c>
    </row>
    <row r="1707">
      <c r="A1707" s="4" t="inlineStr">
        <is>
          <t>SERV-11703</t>
        </is>
      </c>
      <c r="B1707" s="5" t="inlineStr">
        <is>
          <t>Guardas Municipais e Fiscais de Postura</t>
        </is>
      </c>
      <c r="C1707" s="4" t="inlineStr">
        <is>
          <t>Efetivo Concursado</t>
        </is>
      </c>
      <c r="D1707" s="4" t="inlineStr">
        <is>
          <t>SEC-SEG</t>
        </is>
      </c>
      <c r="E1707" s="6" t="n">
        <v>5395.5</v>
      </c>
      <c r="F1707" s="6">
        <f>E1707*0.22</f>
        <v/>
      </c>
      <c r="G1707" s="6">
        <f>E1707+F1707</f>
        <v/>
      </c>
      <c r="H1707" s="10" t="n">
        <v>7</v>
      </c>
      <c r="I1707" s="7">
        <f>H1707/(180*0.714)</f>
        <v/>
      </c>
    </row>
    <row r="1708">
      <c r="A1708" s="4" t="inlineStr">
        <is>
          <t>SERV-11704</t>
        </is>
      </c>
      <c r="B1708" s="5" t="inlineStr">
        <is>
          <t>Guardas Municipais e Fiscais de Postura</t>
        </is>
      </c>
      <c r="C1708" s="4" t="inlineStr">
        <is>
          <t>Efetivo Concursado</t>
        </is>
      </c>
      <c r="D1708" s="4" t="inlineStr">
        <is>
          <t>SEC-SEG</t>
        </is>
      </c>
      <c r="E1708" s="6" t="n">
        <v>5119.87</v>
      </c>
      <c r="F1708" s="6">
        <f>E1708*0.22</f>
        <v/>
      </c>
      <c r="G1708" s="6">
        <f>E1708+F1708</f>
        <v/>
      </c>
      <c r="H1708" s="10" t="n">
        <v>9</v>
      </c>
      <c r="I1708" s="7">
        <f>H1708/(180*0.714)</f>
        <v/>
      </c>
    </row>
    <row r="1709">
      <c r="A1709" s="4" t="inlineStr">
        <is>
          <t>SERV-11705</t>
        </is>
      </c>
      <c r="B1709" s="5" t="inlineStr">
        <is>
          <t>Guardas Municipais e Fiscais de Postura</t>
        </is>
      </c>
      <c r="C1709" s="4" t="inlineStr">
        <is>
          <t>Efetivo Concursado</t>
        </is>
      </c>
      <c r="D1709" s="4" t="inlineStr">
        <is>
          <t>SEC-SEG</t>
        </is>
      </c>
      <c r="E1709" s="6" t="n">
        <v>5424.61</v>
      </c>
      <c r="F1709" s="6">
        <f>E1709*0.22</f>
        <v/>
      </c>
      <c r="G1709" s="6">
        <f>E1709+F1709</f>
        <v/>
      </c>
      <c r="H1709" s="10" t="n">
        <v>6</v>
      </c>
      <c r="I1709" s="7">
        <f>H1709/(180*0.714)</f>
        <v/>
      </c>
    </row>
    <row r="1710">
      <c r="A1710" s="4" t="inlineStr">
        <is>
          <t>SERV-11706</t>
        </is>
      </c>
      <c r="B1710" s="5" t="inlineStr">
        <is>
          <t>Guardas Municipais e Fiscais de Postura</t>
        </is>
      </c>
      <c r="C1710" s="4" t="inlineStr">
        <is>
          <t>Efetivo Concursado</t>
        </is>
      </c>
      <c r="D1710" s="4" t="inlineStr">
        <is>
          <t>SEC-SEG</t>
        </is>
      </c>
      <c r="E1710" s="6" t="n">
        <v>4517.78</v>
      </c>
      <c r="F1710" s="6">
        <f>E1710*0.22</f>
        <v/>
      </c>
      <c r="G1710" s="6">
        <f>E1710+F1710</f>
        <v/>
      </c>
      <c r="H1710" s="10" t="n">
        <v>8</v>
      </c>
      <c r="I1710" s="7">
        <f>H1710/(180*0.714)</f>
        <v/>
      </c>
    </row>
    <row r="1711">
      <c r="A1711" s="4" t="inlineStr">
        <is>
          <t>SERV-11707</t>
        </is>
      </c>
      <c r="B1711" s="5" t="inlineStr">
        <is>
          <t>Guardas Municipais e Fiscais de Postura</t>
        </is>
      </c>
      <c r="C1711" s="4" t="inlineStr">
        <is>
          <t>Efetivo Concursado</t>
        </is>
      </c>
      <c r="D1711" s="4" t="inlineStr">
        <is>
          <t>SEC-SEG</t>
        </is>
      </c>
      <c r="E1711" s="6" t="n">
        <v>4689.31</v>
      </c>
      <c r="F1711" s="6">
        <f>E1711*0.22</f>
        <v/>
      </c>
      <c r="G1711" s="6">
        <f>E1711+F1711</f>
        <v/>
      </c>
      <c r="H1711" s="10" t="n">
        <v>2</v>
      </c>
      <c r="I1711" s="7">
        <f>H1711/(180*0.714)</f>
        <v/>
      </c>
    </row>
    <row r="1712">
      <c r="A1712" s="4" t="inlineStr">
        <is>
          <t>SERV-11708</t>
        </is>
      </c>
      <c r="B1712" s="5" t="inlineStr">
        <is>
          <t>Guardas Municipais e Fiscais de Postura</t>
        </is>
      </c>
      <c r="C1712" s="4" t="inlineStr">
        <is>
          <t>Efetivo Concursado</t>
        </is>
      </c>
      <c r="D1712" s="4" t="inlineStr">
        <is>
          <t>SEC-SEG</t>
        </is>
      </c>
      <c r="E1712" s="6" t="n">
        <v>5242.67</v>
      </c>
      <c r="F1712" s="6">
        <f>E1712*0.22</f>
        <v/>
      </c>
      <c r="G1712" s="6">
        <f>E1712+F1712</f>
        <v/>
      </c>
      <c r="H1712" s="10" t="n">
        <v>2</v>
      </c>
      <c r="I1712" s="7">
        <f>H1712/(180*0.714)</f>
        <v/>
      </c>
    </row>
    <row r="1713">
      <c r="A1713" s="4" t="inlineStr">
        <is>
          <t>SERV-11709</t>
        </is>
      </c>
      <c r="B1713" s="5" t="inlineStr">
        <is>
          <t>Guardas Municipais e Fiscais de Postura</t>
        </is>
      </c>
      <c r="C1713" s="4" t="inlineStr">
        <is>
          <t>Efetivo Concursado</t>
        </is>
      </c>
      <c r="D1713" s="4" t="inlineStr">
        <is>
          <t>SEC-SEG</t>
        </is>
      </c>
      <c r="E1713" s="6" t="n">
        <v>5362.17</v>
      </c>
      <c r="F1713" s="6">
        <f>E1713*0.22</f>
        <v/>
      </c>
      <c r="G1713" s="6">
        <f>E1713+F1713</f>
        <v/>
      </c>
      <c r="H1713" s="10" t="n">
        <v>3</v>
      </c>
      <c r="I1713" s="7">
        <f>H1713/(180*0.714)</f>
        <v/>
      </c>
    </row>
    <row r="1714">
      <c r="A1714" s="4" t="inlineStr">
        <is>
          <t>SERV-11710</t>
        </is>
      </c>
      <c r="B1714" s="5" t="inlineStr">
        <is>
          <t>Guardas Municipais e Fiscais de Postura</t>
        </is>
      </c>
      <c r="C1714" s="4" t="inlineStr">
        <is>
          <t>Efetivo Concursado</t>
        </is>
      </c>
      <c r="D1714" s="4" t="inlineStr">
        <is>
          <t>SEC-SEG</t>
        </is>
      </c>
      <c r="E1714" s="6" t="n">
        <v>5220.7</v>
      </c>
      <c r="F1714" s="6">
        <f>E1714*0.22</f>
        <v/>
      </c>
      <c r="G1714" s="6">
        <f>E1714+F1714</f>
        <v/>
      </c>
      <c r="H1714" s="10" t="n">
        <v>3</v>
      </c>
      <c r="I1714" s="7">
        <f>H1714/(180*0.714)</f>
        <v/>
      </c>
    </row>
    <row r="1715">
      <c r="A1715" s="4" t="inlineStr">
        <is>
          <t>SERV-11711</t>
        </is>
      </c>
      <c r="B1715" s="5" t="inlineStr">
        <is>
          <t>Guardas Municipais e Fiscais de Postura</t>
        </is>
      </c>
      <c r="C1715" s="4" t="inlineStr">
        <is>
          <t>Efetivo Concursado</t>
        </is>
      </c>
      <c r="D1715" s="4" t="inlineStr">
        <is>
          <t>SEC-SEG</t>
        </is>
      </c>
      <c r="E1715" s="6" t="n">
        <v>4981.49</v>
      </c>
      <c r="F1715" s="6">
        <f>E1715*0.22</f>
        <v/>
      </c>
      <c r="G1715" s="6">
        <f>E1715+F1715</f>
        <v/>
      </c>
      <c r="H1715" s="10" t="n">
        <v>3</v>
      </c>
      <c r="I1715" s="7">
        <f>H1715/(180*0.714)</f>
        <v/>
      </c>
    </row>
    <row r="1716">
      <c r="A1716" s="4" t="inlineStr">
        <is>
          <t>SERV-11712</t>
        </is>
      </c>
      <c r="B1716" s="5" t="inlineStr">
        <is>
          <t>Guardas Municipais e Fiscais de Postura</t>
        </is>
      </c>
      <c r="C1716" s="4" t="inlineStr">
        <is>
          <t>Efetivo Concursado</t>
        </is>
      </c>
      <c r="D1716" s="4" t="inlineStr">
        <is>
          <t>SEC-SEG</t>
        </is>
      </c>
      <c r="E1716" s="6" t="n">
        <v>4885.47</v>
      </c>
      <c r="F1716" s="6">
        <f>E1716*0.22</f>
        <v/>
      </c>
      <c r="G1716" s="6">
        <f>E1716+F1716</f>
        <v/>
      </c>
      <c r="H1716" s="10" t="n">
        <v>3</v>
      </c>
      <c r="I1716" s="7">
        <f>H1716/(180*0.714)</f>
        <v/>
      </c>
    </row>
    <row r="1717">
      <c r="A1717" s="4" t="inlineStr">
        <is>
          <t>SERV-11713</t>
        </is>
      </c>
      <c r="B1717" s="5" t="inlineStr">
        <is>
          <t>Guardas Municipais e Fiscais de Postura</t>
        </is>
      </c>
      <c r="C1717" s="4" t="inlineStr">
        <is>
          <t>Efetivo Concursado</t>
        </is>
      </c>
      <c r="D1717" s="4" t="inlineStr">
        <is>
          <t>SEC-SEG</t>
        </is>
      </c>
      <c r="E1717" s="6" t="n">
        <v>4521.14</v>
      </c>
      <c r="F1717" s="6">
        <f>E1717*0.22</f>
        <v/>
      </c>
      <c r="G1717" s="6">
        <f>E1717+F1717</f>
        <v/>
      </c>
      <c r="H1717" s="10" t="n">
        <v>3</v>
      </c>
      <c r="I1717" s="7">
        <f>H1717/(180*0.714)</f>
        <v/>
      </c>
    </row>
    <row r="1718">
      <c r="A1718" s="4" t="inlineStr">
        <is>
          <t>SERV-11714</t>
        </is>
      </c>
      <c r="B1718" s="5" t="inlineStr">
        <is>
          <t>Guardas Municipais e Fiscais de Postura</t>
        </is>
      </c>
      <c r="C1718" s="4" t="inlineStr">
        <is>
          <t>Efetivo Concursado</t>
        </is>
      </c>
      <c r="D1718" s="4" t="inlineStr">
        <is>
          <t>SEC-SEG</t>
        </is>
      </c>
      <c r="E1718" s="6" t="n">
        <v>4531.04</v>
      </c>
      <c r="F1718" s="6">
        <f>E1718*0.22</f>
        <v/>
      </c>
      <c r="G1718" s="6">
        <f>E1718+F1718</f>
        <v/>
      </c>
      <c r="H1718" s="10" t="n">
        <v>8</v>
      </c>
      <c r="I1718" s="7">
        <f>H1718/(180*0.714)</f>
        <v/>
      </c>
    </row>
    <row r="1719">
      <c r="A1719" s="4" t="inlineStr">
        <is>
          <t>SERV-11715</t>
        </is>
      </c>
      <c r="B1719" s="5" t="inlineStr">
        <is>
          <t>Guardas Municipais e Fiscais de Postura</t>
        </is>
      </c>
      <c r="C1719" s="4" t="inlineStr">
        <is>
          <t>Efetivo Concursado</t>
        </is>
      </c>
      <c r="D1719" s="4" t="inlineStr">
        <is>
          <t>SEC-SEG</t>
        </is>
      </c>
      <c r="E1719" s="6" t="n">
        <v>4752.96</v>
      </c>
      <c r="F1719" s="6">
        <f>E1719*0.22</f>
        <v/>
      </c>
      <c r="G1719" s="6">
        <f>E1719+F1719</f>
        <v/>
      </c>
      <c r="H1719" s="10" t="n">
        <v>8</v>
      </c>
      <c r="I1719" s="7">
        <f>H1719/(180*0.714)</f>
        <v/>
      </c>
    </row>
    <row r="1720">
      <c r="A1720" s="4" t="inlineStr">
        <is>
          <t>SERV-11716</t>
        </is>
      </c>
      <c r="B1720" s="5" t="inlineStr">
        <is>
          <t>Guardas Municipais e Fiscais de Postura</t>
        </is>
      </c>
      <c r="C1720" s="4" t="inlineStr">
        <is>
          <t>Efetivo Concursado</t>
        </is>
      </c>
      <c r="D1720" s="4" t="inlineStr">
        <is>
          <t>SEC-SEG</t>
        </is>
      </c>
      <c r="E1720" s="6" t="n">
        <v>4554.19</v>
      </c>
      <c r="F1720" s="6">
        <f>E1720*0.22</f>
        <v/>
      </c>
      <c r="G1720" s="6">
        <f>E1720+F1720</f>
        <v/>
      </c>
      <c r="H1720" s="10" t="n">
        <v>3</v>
      </c>
      <c r="I1720" s="7">
        <f>H1720/(180*0.714)</f>
        <v/>
      </c>
    </row>
    <row r="1721">
      <c r="A1721" s="4" t="inlineStr">
        <is>
          <t>SERV-11717</t>
        </is>
      </c>
      <c r="B1721" s="5" t="inlineStr">
        <is>
          <t>Guardas Municipais e Fiscais de Postura</t>
        </is>
      </c>
      <c r="C1721" s="4" t="inlineStr">
        <is>
          <t>Efetivo Concursado</t>
        </is>
      </c>
      <c r="D1721" s="4" t="inlineStr">
        <is>
          <t>SEC-SEG</t>
        </is>
      </c>
      <c r="E1721" s="6" t="n">
        <v>5262.06</v>
      </c>
      <c r="F1721" s="6">
        <f>E1721*0.22</f>
        <v/>
      </c>
      <c r="G1721" s="6">
        <f>E1721+F1721</f>
        <v/>
      </c>
      <c r="H1721" s="10" t="n">
        <v>6</v>
      </c>
      <c r="I1721" s="7">
        <f>H1721/(180*0.714)</f>
        <v/>
      </c>
    </row>
    <row r="1722">
      <c r="A1722" s="4" t="inlineStr">
        <is>
          <t>SERV-11718</t>
        </is>
      </c>
      <c r="B1722" s="5" t="inlineStr">
        <is>
          <t>Guardas Municipais e Fiscais de Postura</t>
        </is>
      </c>
      <c r="C1722" s="4" t="inlineStr">
        <is>
          <t>Efetivo Concursado</t>
        </is>
      </c>
      <c r="D1722" s="4" t="inlineStr">
        <is>
          <t>SEC-SEG</t>
        </is>
      </c>
      <c r="E1722" s="6" t="n">
        <v>5203.97</v>
      </c>
      <c r="F1722" s="6">
        <f>E1722*0.22</f>
        <v/>
      </c>
      <c r="G1722" s="6">
        <f>E1722+F1722</f>
        <v/>
      </c>
      <c r="H1722" s="10" t="n">
        <v>6</v>
      </c>
      <c r="I1722" s="7">
        <f>H1722/(180*0.714)</f>
        <v/>
      </c>
    </row>
    <row r="1723">
      <c r="A1723" s="4" t="inlineStr">
        <is>
          <t>SERV-11719</t>
        </is>
      </c>
      <c r="B1723" s="5" t="inlineStr">
        <is>
          <t>Guardas Municipais e Fiscais de Postura</t>
        </is>
      </c>
      <c r="C1723" s="4" t="inlineStr">
        <is>
          <t>Efetivo Concursado</t>
        </is>
      </c>
      <c r="D1723" s="4" t="inlineStr">
        <is>
          <t>SEC-SEG</t>
        </is>
      </c>
      <c r="E1723" s="6" t="n">
        <v>4564.19</v>
      </c>
      <c r="F1723" s="6">
        <f>E1723*0.22</f>
        <v/>
      </c>
      <c r="G1723" s="6">
        <f>E1723+F1723</f>
        <v/>
      </c>
      <c r="H1723" s="10" t="n">
        <v>9</v>
      </c>
      <c r="I1723" s="7">
        <f>H1723/(180*0.714)</f>
        <v/>
      </c>
    </row>
    <row r="1724">
      <c r="A1724" s="4" t="inlineStr">
        <is>
          <t>SERV-11720</t>
        </is>
      </c>
      <c r="B1724" s="5" t="inlineStr">
        <is>
          <t>Guardas Municipais e Fiscais de Postura</t>
        </is>
      </c>
      <c r="C1724" s="4" t="inlineStr">
        <is>
          <t>Efetivo Concursado</t>
        </is>
      </c>
      <c r="D1724" s="4" t="inlineStr">
        <is>
          <t>SEC-SEG</t>
        </is>
      </c>
      <c r="E1724" s="6" t="n">
        <v>5360.06</v>
      </c>
      <c r="F1724" s="6">
        <f>E1724*0.22</f>
        <v/>
      </c>
      <c r="G1724" s="6">
        <f>E1724+F1724</f>
        <v/>
      </c>
      <c r="H1724" s="10" t="n">
        <v>6</v>
      </c>
      <c r="I1724" s="7">
        <f>H1724/(180*0.714)</f>
        <v/>
      </c>
    </row>
    <row r="1725">
      <c r="A1725" s="4" t="inlineStr">
        <is>
          <t>SERV-11721</t>
        </is>
      </c>
      <c r="B1725" s="5" t="inlineStr">
        <is>
          <t>Guardas Municipais e Fiscais de Postura</t>
        </is>
      </c>
      <c r="C1725" s="4" t="inlineStr">
        <is>
          <t>Efetivo Concursado</t>
        </is>
      </c>
      <c r="D1725" s="4" t="inlineStr">
        <is>
          <t>SEC-SEG</t>
        </is>
      </c>
      <c r="E1725" s="6" t="n">
        <v>4783.75</v>
      </c>
      <c r="F1725" s="6">
        <f>E1725*0.22</f>
        <v/>
      </c>
      <c r="G1725" s="6">
        <f>E1725+F1725</f>
        <v/>
      </c>
      <c r="H1725" s="10" t="n">
        <v>7</v>
      </c>
      <c r="I1725" s="7">
        <f>H1725/(180*0.714)</f>
        <v/>
      </c>
    </row>
    <row r="1726">
      <c r="A1726" s="4" t="inlineStr">
        <is>
          <t>SERV-11722</t>
        </is>
      </c>
      <c r="B1726" s="5" t="inlineStr">
        <is>
          <t>Guardas Municipais e Fiscais de Postura</t>
        </is>
      </c>
      <c r="C1726" s="4" t="inlineStr">
        <is>
          <t>Efetivo Concursado</t>
        </is>
      </c>
      <c r="D1726" s="4" t="inlineStr">
        <is>
          <t>SEC-SEG</t>
        </is>
      </c>
      <c r="E1726" s="6" t="n">
        <v>4630.11</v>
      </c>
      <c r="F1726" s="6">
        <f>E1726*0.22</f>
        <v/>
      </c>
      <c r="G1726" s="6">
        <f>E1726+F1726</f>
        <v/>
      </c>
      <c r="H1726" s="10" t="n">
        <v>9</v>
      </c>
      <c r="I1726" s="7">
        <f>H1726/(180*0.714)</f>
        <v/>
      </c>
    </row>
    <row r="1727">
      <c r="A1727" s="4" t="inlineStr">
        <is>
          <t>SERV-11723</t>
        </is>
      </c>
      <c r="B1727" s="5" t="inlineStr">
        <is>
          <t>Guardas Municipais e Fiscais de Postura</t>
        </is>
      </c>
      <c r="C1727" s="4" t="inlineStr">
        <is>
          <t>Efetivo Concursado</t>
        </is>
      </c>
      <c r="D1727" s="4" t="inlineStr">
        <is>
          <t>SEC-SEG</t>
        </is>
      </c>
      <c r="E1727" s="6" t="n">
        <v>5255.98</v>
      </c>
      <c r="F1727" s="6">
        <f>E1727*0.22</f>
        <v/>
      </c>
      <c r="G1727" s="6">
        <f>E1727+F1727</f>
        <v/>
      </c>
      <c r="H1727" s="10" t="n">
        <v>5</v>
      </c>
      <c r="I1727" s="7">
        <f>H1727/(180*0.714)</f>
        <v/>
      </c>
    </row>
    <row r="1728">
      <c r="A1728" s="4" t="inlineStr">
        <is>
          <t>SERV-11724</t>
        </is>
      </c>
      <c r="B1728" s="5" t="inlineStr">
        <is>
          <t>Guardas Municipais e Fiscais de Postura</t>
        </is>
      </c>
      <c r="C1728" s="4" t="inlineStr">
        <is>
          <t>Efetivo Concursado</t>
        </is>
      </c>
      <c r="D1728" s="4" t="inlineStr">
        <is>
          <t>SEC-SEG</t>
        </is>
      </c>
      <c r="E1728" s="6" t="n">
        <v>5485.87</v>
      </c>
      <c r="F1728" s="6">
        <f>E1728*0.22</f>
        <v/>
      </c>
      <c r="G1728" s="6">
        <f>E1728+F1728</f>
        <v/>
      </c>
      <c r="H1728" s="10" t="n">
        <v>4</v>
      </c>
      <c r="I1728" s="7">
        <f>H1728/(180*0.714)</f>
        <v/>
      </c>
    </row>
    <row r="1729">
      <c r="A1729" s="4" t="inlineStr">
        <is>
          <t>SERV-11725</t>
        </is>
      </c>
      <c r="B1729" s="5" t="inlineStr">
        <is>
          <t>Guardas Municipais e Fiscais de Postura</t>
        </is>
      </c>
      <c r="C1729" s="4" t="inlineStr">
        <is>
          <t>Efetivo Concursado</t>
        </is>
      </c>
      <c r="D1729" s="4" t="inlineStr">
        <is>
          <t>SEC-SEG</t>
        </is>
      </c>
      <c r="E1729" s="6" t="n">
        <v>5048.64</v>
      </c>
      <c r="F1729" s="6">
        <f>E1729*0.22</f>
        <v/>
      </c>
      <c r="G1729" s="6">
        <f>E1729+F1729</f>
        <v/>
      </c>
      <c r="H1729" s="10" t="n">
        <v>5</v>
      </c>
      <c r="I1729" s="7">
        <f>H1729/(180*0.714)</f>
        <v/>
      </c>
    </row>
    <row r="1730">
      <c r="A1730" s="4" t="inlineStr">
        <is>
          <t>SERV-11726</t>
        </is>
      </c>
      <c r="B1730" s="5" t="inlineStr">
        <is>
          <t>Guardas Municipais e Fiscais de Postura</t>
        </is>
      </c>
      <c r="C1730" s="4" t="inlineStr">
        <is>
          <t>Efetivo Concursado</t>
        </is>
      </c>
      <c r="D1730" s="4" t="inlineStr">
        <is>
          <t>SEC-SEG</t>
        </is>
      </c>
      <c r="E1730" s="6" t="n">
        <v>4798.45</v>
      </c>
      <c r="F1730" s="6">
        <f>E1730*0.22</f>
        <v/>
      </c>
      <c r="G1730" s="6">
        <f>E1730+F1730</f>
        <v/>
      </c>
      <c r="H1730" s="10" t="n">
        <v>3</v>
      </c>
      <c r="I1730" s="7">
        <f>H1730/(180*0.714)</f>
        <v/>
      </c>
    </row>
    <row r="1731">
      <c r="A1731" s="4" t="inlineStr">
        <is>
          <t>SERV-11727</t>
        </is>
      </c>
      <c r="B1731" s="5" t="inlineStr">
        <is>
          <t>Guardas Municipais e Fiscais de Postura</t>
        </is>
      </c>
      <c r="C1731" s="4" t="inlineStr">
        <is>
          <t>Efetivo Concursado</t>
        </is>
      </c>
      <c r="D1731" s="4" t="inlineStr">
        <is>
          <t>SEC-SEG</t>
        </is>
      </c>
      <c r="E1731" s="6" t="n">
        <v>5429.27</v>
      </c>
      <c r="F1731" s="6">
        <f>E1731*0.22</f>
        <v/>
      </c>
      <c r="G1731" s="6">
        <f>E1731+F1731</f>
        <v/>
      </c>
      <c r="H1731" s="10" t="n">
        <v>6</v>
      </c>
      <c r="I1731" s="7">
        <f>H1731/(180*0.714)</f>
        <v/>
      </c>
    </row>
    <row r="1732">
      <c r="A1732" s="4" t="inlineStr">
        <is>
          <t>SERV-11728</t>
        </is>
      </c>
      <c r="B1732" s="5" t="inlineStr">
        <is>
          <t>Guardas Municipais e Fiscais de Postura</t>
        </is>
      </c>
      <c r="C1732" s="4" t="inlineStr">
        <is>
          <t>Efetivo Concursado</t>
        </is>
      </c>
      <c r="D1732" s="4" t="inlineStr">
        <is>
          <t>SEC-SEG</t>
        </is>
      </c>
      <c r="E1732" s="6" t="n">
        <v>4608.23</v>
      </c>
      <c r="F1732" s="6">
        <f>E1732*0.22</f>
        <v/>
      </c>
      <c r="G1732" s="6">
        <f>E1732+F1732</f>
        <v/>
      </c>
      <c r="H1732" s="10" t="n">
        <v>9</v>
      </c>
      <c r="I1732" s="7">
        <f>H1732/(180*0.714)</f>
        <v/>
      </c>
    </row>
    <row r="1733">
      <c r="A1733" s="4" t="inlineStr">
        <is>
          <t>SERV-11729</t>
        </is>
      </c>
      <c r="B1733" s="5" t="inlineStr">
        <is>
          <t>Guardas Municipais e Fiscais de Postura</t>
        </is>
      </c>
      <c r="C1733" s="4" t="inlineStr">
        <is>
          <t>Efetivo Concursado</t>
        </is>
      </c>
      <c r="D1733" s="4" t="inlineStr">
        <is>
          <t>SEC-SEG</t>
        </is>
      </c>
      <c r="E1733" s="6" t="n">
        <v>4936.25</v>
      </c>
      <c r="F1733" s="6">
        <f>E1733*0.22</f>
        <v/>
      </c>
      <c r="G1733" s="6">
        <f>E1733+F1733</f>
        <v/>
      </c>
      <c r="H1733" s="10" t="n">
        <v>6</v>
      </c>
      <c r="I1733" s="7">
        <f>H1733/(180*0.714)</f>
        <v/>
      </c>
    </row>
    <row r="1734">
      <c r="A1734" s="4" t="inlineStr">
        <is>
          <t>SERV-11730</t>
        </is>
      </c>
      <c r="B1734" s="5" t="inlineStr">
        <is>
          <t>Guardas Municipais e Fiscais de Postura</t>
        </is>
      </c>
      <c r="C1734" s="4" t="inlineStr">
        <is>
          <t>Efetivo Concursado</t>
        </is>
      </c>
      <c r="D1734" s="4" t="inlineStr">
        <is>
          <t>SEC-SEG</t>
        </is>
      </c>
      <c r="E1734" s="6" t="n">
        <v>4873.86</v>
      </c>
      <c r="F1734" s="6">
        <f>E1734*0.22</f>
        <v/>
      </c>
      <c r="G1734" s="6">
        <f>E1734+F1734</f>
        <v/>
      </c>
      <c r="H1734" s="10" t="n">
        <v>6</v>
      </c>
      <c r="I1734" s="7">
        <f>H1734/(180*0.714)</f>
        <v/>
      </c>
    </row>
    <row r="1735">
      <c r="A1735" s="4" t="inlineStr">
        <is>
          <t>SERV-11731</t>
        </is>
      </c>
      <c r="B1735" s="5" t="inlineStr">
        <is>
          <t>Guardas Municipais e Fiscais de Postura</t>
        </is>
      </c>
      <c r="C1735" s="4" t="inlineStr">
        <is>
          <t>Efetivo Concursado</t>
        </is>
      </c>
      <c r="D1735" s="4" t="inlineStr">
        <is>
          <t>SEC-SEG</t>
        </is>
      </c>
      <c r="E1735" s="6" t="n">
        <v>5007.84</v>
      </c>
      <c r="F1735" s="6">
        <f>E1735*0.22</f>
        <v/>
      </c>
      <c r="G1735" s="6">
        <f>E1735+F1735</f>
        <v/>
      </c>
      <c r="H1735" s="10" t="n">
        <v>4</v>
      </c>
      <c r="I1735" s="7">
        <f>H1735/(180*0.714)</f>
        <v/>
      </c>
    </row>
    <row r="1736">
      <c r="A1736" s="4" t="inlineStr">
        <is>
          <t>SERV-11732</t>
        </is>
      </c>
      <c r="B1736" s="5" t="inlineStr">
        <is>
          <t>Guardas Municipais e Fiscais de Postura</t>
        </is>
      </c>
      <c r="C1736" s="4" t="inlineStr">
        <is>
          <t>Efetivo Concursado</t>
        </is>
      </c>
      <c r="D1736" s="4" t="inlineStr">
        <is>
          <t>SEC-SEG</t>
        </is>
      </c>
      <c r="E1736" s="6" t="n">
        <v>5446.14</v>
      </c>
      <c r="F1736" s="6">
        <f>E1736*0.22</f>
        <v/>
      </c>
      <c r="G1736" s="6">
        <f>E1736+F1736</f>
        <v/>
      </c>
      <c r="H1736" s="10" t="n">
        <v>3</v>
      </c>
      <c r="I1736" s="7">
        <f>H1736/(180*0.714)</f>
        <v/>
      </c>
    </row>
    <row r="1737">
      <c r="A1737" s="4" t="inlineStr">
        <is>
          <t>SERV-11733</t>
        </is>
      </c>
      <c r="B1737" s="5" t="inlineStr">
        <is>
          <t>Guardas Municipais e Fiscais de Postura</t>
        </is>
      </c>
      <c r="C1737" s="4" t="inlineStr">
        <is>
          <t>Efetivo Concursado</t>
        </is>
      </c>
      <c r="D1737" s="4" t="inlineStr">
        <is>
          <t>SEC-SEG</t>
        </is>
      </c>
      <c r="E1737" s="6" t="n">
        <v>4651.45</v>
      </c>
      <c r="F1737" s="6">
        <f>E1737*0.22</f>
        <v/>
      </c>
      <c r="G1737" s="6">
        <f>E1737+F1737</f>
        <v/>
      </c>
      <c r="H1737" s="10" t="n">
        <v>7</v>
      </c>
      <c r="I1737" s="7">
        <f>H1737/(180*0.714)</f>
        <v/>
      </c>
    </row>
    <row r="1738">
      <c r="A1738" s="4" t="inlineStr">
        <is>
          <t>SERV-11734</t>
        </is>
      </c>
      <c r="B1738" s="5" t="inlineStr">
        <is>
          <t>Guardas Municipais e Fiscais de Postura</t>
        </is>
      </c>
      <c r="C1738" s="4" t="inlineStr">
        <is>
          <t>Efetivo Concursado</t>
        </is>
      </c>
      <c r="D1738" s="4" t="inlineStr">
        <is>
          <t>SEC-SEG</t>
        </is>
      </c>
      <c r="E1738" s="6" t="n">
        <v>4861.95</v>
      </c>
      <c r="F1738" s="6">
        <f>E1738*0.22</f>
        <v/>
      </c>
      <c r="G1738" s="6">
        <f>E1738+F1738</f>
        <v/>
      </c>
      <c r="H1738" s="10" t="n">
        <v>5</v>
      </c>
      <c r="I1738" s="7">
        <f>H1738/(180*0.714)</f>
        <v/>
      </c>
    </row>
    <row r="1739">
      <c r="A1739" s="4" t="inlineStr">
        <is>
          <t>SERV-11735</t>
        </is>
      </c>
      <c r="B1739" s="5" t="inlineStr">
        <is>
          <t>Guardas Municipais e Fiscais de Postura</t>
        </is>
      </c>
      <c r="C1739" s="4" t="inlineStr">
        <is>
          <t>Efetivo Concursado</t>
        </is>
      </c>
      <c r="D1739" s="4" t="inlineStr">
        <is>
          <t>SEC-SEG</t>
        </is>
      </c>
      <c r="E1739" s="6" t="n">
        <v>5360.36</v>
      </c>
      <c r="F1739" s="6">
        <f>E1739*0.22</f>
        <v/>
      </c>
      <c r="G1739" s="6">
        <f>E1739+F1739</f>
        <v/>
      </c>
      <c r="H1739" s="10" t="n">
        <v>6</v>
      </c>
      <c r="I1739" s="7">
        <f>H1739/(180*0.714)</f>
        <v/>
      </c>
    </row>
    <row r="1740">
      <c r="A1740" s="4" t="inlineStr">
        <is>
          <t>SERV-11736</t>
        </is>
      </c>
      <c r="B1740" s="5" t="inlineStr">
        <is>
          <t>Guardas Municipais e Fiscais de Postura</t>
        </is>
      </c>
      <c r="C1740" s="4" t="inlineStr">
        <is>
          <t>Efetivo Concursado</t>
        </is>
      </c>
      <c r="D1740" s="4" t="inlineStr">
        <is>
          <t>SEC-SEG</t>
        </is>
      </c>
      <c r="E1740" s="6" t="n">
        <v>4895.07</v>
      </c>
      <c r="F1740" s="6">
        <f>E1740*0.22</f>
        <v/>
      </c>
      <c r="G1740" s="6">
        <f>E1740+F1740</f>
        <v/>
      </c>
      <c r="H1740" s="10" t="n">
        <v>7</v>
      </c>
      <c r="I1740" s="7">
        <f>H1740/(180*0.714)</f>
        <v/>
      </c>
    </row>
    <row r="1741">
      <c r="A1741" s="4" t="inlineStr">
        <is>
          <t>SERV-11737</t>
        </is>
      </c>
      <c r="B1741" s="5" t="inlineStr">
        <is>
          <t>Guardas Municipais e Fiscais de Postura</t>
        </is>
      </c>
      <c r="C1741" s="4" t="inlineStr">
        <is>
          <t>Efetivo Concursado</t>
        </is>
      </c>
      <c r="D1741" s="4" t="inlineStr">
        <is>
          <t>SEC-SEG</t>
        </is>
      </c>
      <c r="E1741" s="6" t="n">
        <v>5217.92</v>
      </c>
      <c r="F1741" s="6">
        <f>E1741*0.22</f>
        <v/>
      </c>
      <c r="G1741" s="6">
        <f>E1741+F1741</f>
        <v/>
      </c>
      <c r="H1741" s="10" t="n">
        <v>3</v>
      </c>
      <c r="I1741" s="7">
        <f>H1741/(180*0.714)</f>
        <v/>
      </c>
    </row>
    <row r="1742">
      <c r="A1742" s="4" t="inlineStr">
        <is>
          <t>SERV-11738</t>
        </is>
      </c>
      <c r="B1742" s="5" t="inlineStr">
        <is>
          <t>Guardas Municipais e Fiscais de Postura</t>
        </is>
      </c>
      <c r="C1742" s="4" t="inlineStr">
        <is>
          <t>Efetivo Concursado</t>
        </is>
      </c>
      <c r="D1742" s="4" t="inlineStr">
        <is>
          <t>SEC-SEG</t>
        </is>
      </c>
      <c r="E1742" s="6" t="n">
        <v>5116.9</v>
      </c>
      <c r="F1742" s="6">
        <f>E1742*0.22</f>
        <v/>
      </c>
      <c r="G1742" s="6">
        <f>E1742+F1742</f>
        <v/>
      </c>
      <c r="H1742" s="10" t="n">
        <v>4</v>
      </c>
      <c r="I1742" s="7">
        <f>H1742/(180*0.714)</f>
        <v/>
      </c>
    </row>
    <row r="1743">
      <c r="A1743" s="4" t="inlineStr">
        <is>
          <t>SERV-11739</t>
        </is>
      </c>
      <c r="B1743" s="5" t="inlineStr">
        <is>
          <t>Guardas Municipais e Fiscais de Postura</t>
        </is>
      </c>
      <c r="C1743" s="4" t="inlineStr">
        <is>
          <t>Efetivo Concursado</t>
        </is>
      </c>
      <c r="D1743" s="4" t="inlineStr">
        <is>
          <t>SEC-SEG</t>
        </is>
      </c>
      <c r="E1743" s="6" t="n">
        <v>4836.94</v>
      </c>
      <c r="F1743" s="6">
        <f>E1743*0.22</f>
        <v/>
      </c>
      <c r="G1743" s="6">
        <f>E1743+F1743</f>
        <v/>
      </c>
      <c r="H1743" s="10" t="n">
        <v>6</v>
      </c>
      <c r="I1743" s="7">
        <f>H1743/(180*0.714)</f>
        <v/>
      </c>
    </row>
    <row r="1744">
      <c r="A1744" s="4" t="inlineStr">
        <is>
          <t>SERV-11740</t>
        </is>
      </c>
      <c r="B1744" s="5" t="inlineStr">
        <is>
          <t>Guardas Municipais e Fiscais de Postura</t>
        </is>
      </c>
      <c r="C1744" s="4" t="inlineStr">
        <is>
          <t>Efetivo Concursado</t>
        </is>
      </c>
      <c r="D1744" s="4" t="inlineStr">
        <is>
          <t>SEC-SEG</t>
        </is>
      </c>
      <c r="E1744" s="6" t="n">
        <v>5265.1</v>
      </c>
      <c r="F1744" s="6">
        <f>E1744*0.22</f>
        <v/>
      </c>
      <c r="G1744" s="6">
        <f>E1744+F1744</f>
        <v/>
      </c>
      <c r="H1744" s="10" t="n">
        <v>4</v>
      </c>
      <c r="I1744" s="7">
        <f>H1744/(180*0.714)</f>
        <v/>
      </c>
    </row>
    <row r="1745">
      <c r="A1745" s="4" t="inlineStr">
        <is>
          <t>SERV-11741</t>
        </is>
      </c>
      <c r="B1745" s="5" t="inlineStr">
        <is>
          <t>Guardas Municipais e Fiscais de Postura</t>
        </is>
      </c>
      <c r="C1745" s="4" t="inlineStr">
        <is>
          <t>Efetivo Concursado</t>
        </is>
      </c>
      <c r="D1745" s="4" t="inlineStr">
        <is>
          <t>SEC-SEG</t>
        </is>
      </c>
      <c r="E1745" s="6" t="n">
        <v>4605.56</v>
      </c>
      <c r="F1745" s="6">
        <f>E1745*0.22</f>
        <v/>
      </c>
      <c r="G1745" s="6">
        <f>E1745+F1745</f>
        <v/>
      </c>
      <c r="H1745" s="10" t="n">
        <v>2</v>
      </c>
      <c r="I1745" s="7">
        <f>H1745/(180*0.714)</f>
        <v/>
      </c>
    </row>
    <row r="1746">
      <c r="A1746" s="4" t="inlineStr">
        <is>
          <t>SERV-11742</t>
        </is>
      </c>
      <c r="B1746" s="5" t="inlineStr">
        <is>
          <t>Guardas Municipais e Fiscais de Postura</t>
        </is>
      </c>
      <c r="C1746" s="4" t="inlineStr">
        <is>
          <t>Efetivo Concursado</t>
        </is>
      </c>
      <c r="D1746" s="4" t="inlineStr">
        <is>
          <t>SEC-SEG</t>
        </is>
      </c>
      <c r="E1746" s="6" t="n">
        <v>5050.43</v>
      </c>
      <c r="F1746" s="6">
        <f>E1746*0.22</f>
        <v/>
      </c>
      <c r="G1746" s="6">
        <f>E1746+F1746</f>
        <v/>
      </c>
      <c r="H1746" s="10" t="n">
        <v>5</v>
      </c>
      <c r="I1746" s="7">
        <f>H1746/(180*0.714)</f>
        <v/>
      </c>
    </row>
    <row r="1747">
      <c r="A1747" s="4" t="inlineStr">
        <is>
          <t>SERV-11743</t>
        </is>
      </c>
      <c r="B1747" s="5" t="inlineStr">
        <is>
          <t>Guardas Municipais e Fiscais de Postura</t>
        </is>
      </c>
      <c r="C1747" s="4" t="inlineStr">
        <is>
          <t>Efetivo Concursado</t>
        </is>
      </c>
      <c r="D1747" s="4" t="inlineStr">
        <is>
          <t>SEC-SEG</t>
        </is>
      </c>
      <c r="E1747" s="6" t="n">
        <v>5442.92</v>
      </c>
      <c r="F1747" s="6">
        <f>E1747*0.22</f>
        <v/>
      </c>
      <c r="G1747" s="6">
        <f>E1747+F1747</f>
        <v/>
      </c>
      <c r="H1747" s="10" t="n">
        <v>6</v>
      </c>
      <c r="I1747" s="7">
        <f>H1747/(180*0.714)</f>
        <v/>
      </c>
    </row>
    <row r="1748">
      <c r="A1748" s="4" t="inlineStr">
        <is>
          <t>SERV-11744</t>
        </is>
      </c>
      <c r="B1748" s="5" t="inlineStr">
        <is>
          <t>Guardas Municipais e Fiscais de Postura</t>
        </is>
      </c>
      <c r="C1748" s="4" t="inlineStr">
        <is>
          <t>Efetivo Concursado</t>
        </is>
      </c>
      <c r="D1748" s="4" t="inlineStr">
        <is>
          <t>SEC-SEG</t>
        </is>
      </c>
      <c r="E1748" s="6" t="n">
        <v>4668.42</v>
      </c>
      <c r="F1748" s="6">
        <f>E1748*0.22</f>
        <v/>
      </c>
      <c r="G1748" s="6">
        <f>E1748+F1748</f>
        <v/>
      </c>
      <c r="H1748" s="10" t="n">
        <v>8</v>
      </c>
      <c r="I1748" s="7">
        <f>H1748/(180*0.714)</f>
        <v/>
      </c>
    </row>
    <row r="1749">
      <c r="A1749" s="4" t="inlineStr">
        <is>
          <t>SERV-11745</t>
        </is>
      </c>
      <c r="B1749" s="5" t="inlineStr">
        <is>
          <t>Guardas Municipais e Fiscais de Postura</t>
        </is>
      </c>
      <c r="C1749" s="4" t="inlineStr">
        <is>
          <t>Efetivo Concursado</t>
        </is>
      </c>
      <c r="D1749" s="4" t="inlineStr">
        <is>
          <t>SEC-SEG</t>
        </is>
      </c>
      <c r="E1749" s="6" t="n">
        <v>5449.2</v>
      </c>
      <c r="F1749" s="6">
        <f>E1749*0.22</f>
        <v/>
      </c>
      <c r="G1749" s="6">
        <f>E1749+F1749</f>
        <v/>
      </c>
      <c r="H1749" s="10" t="n">
        <v>8</v>
      </c>
      <c r="I1749" s="7">
        <f>H1749/(180*0.714)</f>
        <v/>
      </c>
    </row>
    <row r="1750">
      <c r="A1750" s="4" t="inlineStr">
        <is>
          <t>SERV-11746</t>
        </is>
      </c>
      <c r="B1750" s="5" t="inlineStr">
        <is>
          <t>Guardas Municipais e Fiscais de Postura</t>
        </is>
      </c>
      <c r="C1750" s="4" t="inlineStr">
        <is>
          <t>Efetivo Concursado</t>
        </is>
      </c>
      <c r="D1750" s="4" t="inlineStr">
        <is>
          <t>SEC-SEG</t>
        </is>
      </c>
      <c r="E1750" s="6" t="n">
        <v>5034.76</v>
      </c>
      <c r="F1750" s="6">
        <f>E1750*0.22</f>
        <v/>
      </c>
      <c r="G1750" s="6">
        <f>E1750+F1750</f>
        <v/>
      </c>
      <c r="H1750" s="10" t="n">
        <v>3</v>
      </c>
      <c r="I1750" s="7">
        <f>H1750/(180*0.714)</f>
        <v/>
      </c>
    </row>
    <row r="1751">
      <c r="A1751" s="4" t="inlineStr">
        <is>
          <t>SERV-11747</t>
        </is>
      </c>
      <c r="B1751" s="5" t="inlineStr">
        <is>
          <t>Guardas Municipais e Fiscais de Postura</t>
        </is>
      </c>
      <c r="C1751" s="4" t="inlineStr">
        <is>
          <t>Efetivo Concursado</t>
        </is>
      </c>
      <c r="D1751" s="4" t="inlineStr">
        <is>
          <t>SEC-SEG</t>
        </is>
      </c>
      <c r="E1751" s="6" t="n">
        <v>4650.35</v>
      </c>
      <c r="F1751" s="6">
        <f>E1751*0.22</f>
        <v/>
      </c>
      <c r="G1751" s="6">
        <f>E1751+F1751</f>
        <v/>
      </c>
      <c r="H1751" s="10" t="n">
        <v>8</v>
      </c>
      <c r="I1751" s="7">
        <f>H1751/(180*0.714)</f>
        <v/>
      </c>
    </row>
    <row r="1752">
      <c r="A1752" s="4" t="inlineStr">
        <is>
          <t>SERV-11748</t>
        </is>
      </c>
      <c r="B1752" s="5" t="inlineStr">
        <is>
          <t>Guardas Municipais e Fiscais de Postura</t>
        </is>
      </c>
      <c r="C1752" s="4" t="inlineStr">
        <is>
          <t>Efetivo Concursado</t>
        </is>
      </c>
      <c r="D1752" s="4" t="inlineStr">
        <is>
          <t>SEC-SEG</t>
        </is>
      </c>
      <c r="E1752" s="6" t="n">
        <v>5440.4</v>
      </c>
      <c r="F1752" s="6">
        <f>E1752*0.22</f>
        <v/>
      </c>
      <c r="G1752" s="6">
        <f>E1752+F1752</f>
        <v/>
      </c>
      <c r="H1752" s="10" t="n">
        <v>7</v>
      </c>
      <c r="I1752" s="7">
        <f>H1752/(180*0.714)</f>
        <v/>
      </c>
    </row>
    <row r="1753">
      <c r="A1753" s="4" t="inlineStr">
        <is>
          <t>SERV-11749</t>
        </is>
      </c>
      <c r="B1753" s="5" t="inlineStr">
        <is>
          <t>Guardas Municipais e Fiscais de Postura</t>
        </is>
      </c>
      <c r="C1753" s="4" t="inlineStr">
        <is>
          <t>Efetivo Concursado</t>
        </is>
      </c>
      <c r="D1753" s="4" t="inlineStr">
        <is>
          <t>SEC-SEG</t>
        </is>
      </c>
      <c r="E1753" s="6" t="n">
        <v>5151.21</v>
      </c>
      <c r="F1753" s="6">
        <f>E1753*0.22</f>
        <v/>
      </c>
      <c r="G1753" s="6">
        <f>E1753+F1753</f>
        <v/>
      </c>
      <c r="H1753" s="10" t="n">
        <v>7</v>
      </c>
      <c r="I1753" s="7">
        <f>H1753/(180*0.714)</f>
        <v/>
      </c>
    </row>
    <row r="1754">
      <c r="A1754" s="4" t="inlineStr">
        <is>
          <t>SERV-11750</t>
        </is>
      </c>
      <c r="B1754" s="5" t="inlineStr">
        <is>
          <t>Guardas Municipais e Fiscais de Postura</t>
        </is>
      </c>
      <c r="C1754" s="4" t="inlineStr">
        <is>
          <t>Efetivo Concursado</t>
        </is>
      </c>
      <c r="D1754" s="4" t="inlineStr">
        <is>
          <t>SEC-SEG</t>
        </is>
      </c>
      <c r="E1754" s="6" t="n">
        <v>5446.75</v>
      </c>
      <c r="F1754" s="6">
        <f>E1754*0.22</f>
        <v/>
      </c>
      <c r="G1754" s="6">
        <f>E1754+F1754</f>
        <v/>
      </c>
      <c r="H1754" s="10" t="n">
        <v>3</v>
      </c>
      <c r="I1754" s="7">
        <f>H1754/(180*0.714)</f>
        <v/>
      </c>
    </row>
    <row r="1755">
      <c r="A1755" s="4" t="inlineStr">
        <is>
          <t>SERV-11751</t>
        </is>
      </c>
      <c r="B1755" s="5" t="inlineStr">
        <is>
          <t>Guardas Municipais e Fiscais de Postura</t>
        </is>
      </c>
      <c r="C1755" s="4" t="inlineStr">
        <is>
          <t>Efetivo Concursado</t>
        </is>
      </c>
      <c r="D1755" s="4" t="inlineStr">
        <is>
          <t>SEC-SEG</t>
        </is>
      </c>
      <c r="E1755" s="6" t="n">
        <v>5354.82</v>
      </c>
      <c r="F1755" s="6">
        <f>E1755*0.22</f>
        <v/>
      </c>
      <c r="G1755" s="6">
        <f>E1755+F1755</f>
        <v/>
      </c>
      <c r="H1755" s="10" t="n">
        <v>7</v>
      </c>
      <c r="I1755" s="7">
        <f>H1755/(180*0.714)</f>
        <v/>
      </c>
    </row>
    <row r="1756">
      <c r="A1756" s="4" t="inlineStr">
        <is>
          <t>SERV-11752</t>
        </is>
      </c>
      <c r="B1756" s="5" t="inlineStr">
        <is>
          <t>Guardas Municipais e Fiscais de Postura</t>
        </is>
      </c>
      <c r="C1756" s="4" t="inlineStr">
        <is>
          <t>Efetivo Concursado</t>
        </is>
      </c>
      <c r="D1756" s="4" t="inlineStr">
        <is>
          <t>SEC-SEG</t>
        </is>
      </c>
      <c r="E1756" s="6" t="n">
        <v>5102.42</v>
      </c>
      <c r="F1756" s="6">
        <f>E1756*0.22</f>
        <v/>
      </c>
      <c r="G1756" s="6">
        <f>E1756+F1756</f>
        <v/>
      </c>
      <c r="H1756" s="10" t="n">
        <v>5</v>
      </c>
      <c r="I1756" s="7">
        <f>H1756/(180*0.714)</f>
        <v/>
      </c>
    </row>
    <row r="1757">
      <c r="A1757" s="4" t="inlineStr">
        <is>
          <t>SERV-11753</t>
        </is>
      </c>
      <c r="B1757" s="5" t="inlineStr">
        <is>
          <t>Guardas Municipais e Fiscais de Postura</t>
        </is>
      </c>
      <c r="C1757" s="4" t="inlineStr">
        <is>
          <t>Efetivo Concursado</t>
        </is>
      </c>
      <c r="D1757" s="4" t="inlineStr">
        <is>
          <t>SEC-SEG</t>
        </is>
      </c>
      <c r="E1757" s="6" t="n">
        <v>4616.07</v>
      </c>
      <c r="F1757" s="6">
        <f>E1757*0.22</f>
        <v/>
      </c>
      <c r="G1757" s="6">
        <f>E1757+F1757</f>
        <v/>
      </c>
      <c r="H1757" s="10" t="n">
        <v>9</v>
      </c>
      <c r="I1757" s="7">
        <f>H1757/(180*0.714)</f>
        <v/>
      </c>
    </row>
    <row r="1758">
      <c r="A1758" s="4" t="inlineStr">
        <is>
          <t>SERV-11754</t>
        </is>
      </c>
      <c r="B1758" s="5" t="inlineStr">
        <is>
          <t>Guardas Municipais e Fiscais de Postura</t>
        </is>
      </c>
      <c r="C1758" s="4" t="inlineStr">
        <is>
          <t>Efetivo Concursado</t>
        </is>
      </c>
      <c r="D1758" s="4" t="inlineStr">
        <is>
          <t>SEC-SEG</t>
        </is>
      </c>
      <c r="E1758" s="6" t="n">
        <v>5257.68</v>
      </c>
      <c r="F1758" s="6">
        <f>E1758*0.22</f>
        <v/>
      </c>
      <c r="G1758" s="6">
        <f>E1758+F1758</f>
        <v/>
      </c>
      <c r="H1758" s="10" t="n">
        <v>5</v>
      </c>
      <c r="I1758" s="7">
        <f>H1758/(180*0.714)</f>
        <v/>
      </c>
    </row>
    <row r="1759">
      <c r="A1759" s="4" t="inlineStr">
        <is>
          <t>SERV-11755</t>
        </is>
      </c>
      <c r="B1759" s="5" t="inlineStr">
        <is>
          <t>Guardas Municipais e Fiscais de Postura</t>
        </is>
      </c>
      <c r="C1759" s="4" t="inlineStr">
        <is>
          <t>Efetivo Concursado</t>
        </is>
      </c>
      <c r="D1759" s="4" t="inlineStr">
        <is>
          <t>SEC-SEG</t>
        </is>
      </c>
      <c r="E1759" s="6" t="n">
        <v>4846.59</v>
      </c>
      <c r="F1759" s="6">
        <f>E1759*0.22</f>
        <v/>
      </c>
      <c r="G1759" s="6">
        <f>E1759+F1759</f>
        <v/>
      </c>
      <c r="H1759" s="10" t="n">
        <v>4</v>
      </c>
      <c r="I1759" s="7">
        <f>H1759/(180*0.714)</f>
        <v/>
      </c>
    </row>
    <row r="1760">
      <c r="A1760" s="4" t="inlineStr">
        <is>
          <t>SERV-11756</t>
        </is>
      </c>
      <c r="B1760" s="5" t="inlineStr">
        <is>
          <t>Guardas Municipais e Fiscais de Postura</t>
        </is>
      </c>
      <c r="C1760" s="4" t="inlineStr">
        <is>
          <t>Efetivo Concursado</t>
        </is>
      </c>
      <c r="D1760" s="4" t="inlineStr">
        <is>
          <t>SEC-SEG</t>
        </is>
      </c>
      <c r="E1760" s="6" t="n">
        <v>4592.33</v>
      </c>
      <c r="F1760" s="6">
        <f>E1760*0.22</f>
        <v/>
      </c>
      <c r="G1760" s="6">
        <f>E1760+F1760</f>
        <v/>
      </c>
      <c r="H1760" s="10" t="n">
        <v>6</v>
      </c>
      <c r="I1760" s="7">
        <f>H1760/(180*0.714)</f>
        <v/>
      </c>
    </row>
    <row r="1761">
      <c r="A1761" s="4" t="inlineStr">
        <is>
          <t>SERV-11757</t>
        </is>
      </c>
      <c r="B1761" s="5" t="inlineStr">
        <is>
          <t>Guardas Municipais e Fiscais de Postura</t>
        </is>
      </c>
      <c r="C1761" s="4" t="inlineStr">
        <is>
          <t>Efetivo Concursado</t>
        </is>
      </c>
      <c r="D1761" s="4" t="inlineStr">
        <is>
          <t>SEC-SEG</t>
        </is>
      </c>
      <c r="E1761" s="6" t="n">
        <v>4720.35</v>
      </c>
      <c r="F1761" s="6">
        <f>E1761*0.22</f>
        <v/>
      </c>
      <c r="G1761" s="6">
        <f>E1761+F1761</f>
        <v/>
      </c>
      <c r="H1761" s="10" t="n">
        <v>9</v>
      </c>
      <c r="I1761" s="7">
        <f>H1761/(180*0.714)</f>
        <v/>
      </c>
    </row>
    <row r="1762">
      <c r="A1762" s="4" t="inlineStr">
        <is>
          <t>SERV-11758</t>
        </is>
      </c>
      <c r="B1762" s="5" t="inlineStr">
        <is>
          <t>Guardas Municipais e Fiscais de Postura</t>
        </is>
      </c>
      <c r="C1762" s="4" t="inlineStr">
        <is>
          <t>Efetivo Concursado</t>
        </is>
      </c>
      <c r="D1762" s="4" t="inlineStr">
        <is>
          <t>SEC-SEG</t>
        </is>
      </c>
      <c r="E1762" s="6" t="n">
        <v>5287.49</v>
      </c>
      <c r="F1762" s="6">
        <f>E1762*0.22</f>
        <v/>
      </c>
      <c r="G1762" s="6">
        <f>E1762+F1762</f>
        <v/>
      </c>
      <c r="H1762" s="10" t="n">
        <v>3</v>
      </c>
      <c r="I1762" s="7">
        <f>H1762/(180*0.714)</f>
        <v/>
      </c>
    </row>
    <row r="1763">
      <c r="A1763" s="4" t="inlineStr">
        <is>
          <t>SERV-11759</t>
        </is>
      </c>
      <c r="B1763" s="5" t="inlineStr">
        <is>
          <t>Guardas Municipais e Fiscais de Postura</t>
        </is>
      </c>
      <c r="C1763" s="4" t="inlineStr">
        <is>
          <t>Efetivo Concursado</t>
        </is>
      </c>
      <c r="D1763" s="4" t="inlineStr">
        <is>
          <t>SEC-SEG</t>
        </is>
      </c>
      <c r="E1763" s="6" t="n">
        <v>4603.89</v>
      </c>
      <c r="F1763" s="6">
        <f>E1763*0.22</f>
        <v/>
      </c>
      <c r="G1763" s="6">
        <f>E1763+F1763</f>
        <v/>
      </c>
      <c r="H1763" s="10" t="n">
        <v>2</v>
      </c>
      <c r="I1763" s="7">
        <f>H1763/(180*0.714)</f>
        <v/>
      </c>
    </row>
    <row r="1764">
      <c r="A1764" s="4" t="inlineStr">
        <is>
          <t>SERV-11760</t>
        </is>
      </c>
      <c r="B1764" s="5" t="inlineStr">
        <is>
          <t>Guardas Municipais e Fiscais de Postura</t>
        </is>
      </c>
      <c r="C1764" s="4" t="inlineStr">
        <is>
          <t>Efetivo Concursado</t>
        </is>
      </c>
      <c r="D1764" s="4" t="inlineStr">
        <is>
          <t>SEC-SEG</t>
        </is>
      </c>
      <c r="E1764" s="6" t="n">
        <v>4845.98</v>
      </c>
      <c r="F1764" s="6">
        <f>E1764*0.22</f>
        <v/>
      </c>
      <c r="G1764" s="6">
        <f>E1764+F1764</f>
        <v/>
      </c>
      <c r="H1764" s="10" t="n">
        <v>7</v>
      </c>
      <c r="I1764" s="7">
        <f>H1764/(180*0.714)</f>
        <v/>
      </c>
    </row>
    <row r="1765">
      <c r="A1765" s="4" t="inlineStr">
        <is>
          <t>SERV-11761</t>
        </is>
      </c>
      <c r="B1765" s="5" t="inlineStr">
        <is>
          <t>Guardas Municipais e Fiscais de Postura</t>
        </is>
      </c>
      <c r="C1765" s="4" t="inlineStr">
        <is>
          <t>Efetivo Concursado</t>
        </is>
      </c>
      <c r="D1765" s="4" t="inlineStr">
        <is>
          <t>SEC-SEG</t>
        </is>
      </c>
      <c r="E1765" s="6" t="n">
        <v>4709.3</v>
      </c>
      <c r="F1765" s="6">
        <f>E1765*0.22</f>
        <v/>
      </c>
      <c r="G1765" s="6">
        <f>E1765+F1765</f>
        <v/>
      </c>
      <c r="H1765" s="10" t="n">
        <v>5</v>
      </c>
      <c r="I1765" s="7">
        <f>H1765/(180*0.714)</f>
        <v/>
      </c>
    </row>
    <row r="1766">
      <c r="A1766" s="4" t="inlineStr">
        <is>
          <t>SERV-11762</t>
        </is>
      </c>
      <c r="B1766" s="5" t="inlineStr">
        <is>
          <t>Guardas Municipais e Fiscais de Postura</t>
        </is>
      </c>
      <c r="C1766" s="4" t="inlineStr">
        <is>
          <t>Efetivo Concursado</t>
        </is>
      </c>
      <c r="D1766" s="4" t="inlineStr">
        <is>
          <t>SEC-SEG</t>
        </is>
      </c>
      <c r="E1766" s="6" t="n">
        <v>5416.94</v>
      </c>
      <c r="F1766" s="6">
        <f>E1766*0.22</f>
        <v/>
      </c>
      <c r="G1766" s="6">
        <f>E1766+F1766</f>
        <v/>
      </c>
      <c r="H1766" s="10" t="n">
        <v>5</v>
      </c>
      <c r="I1766" s="7">
        <f>H1766/(180*0.714)</f>
        <v/>
      </c>
    </row>
    <row r="1767">
      <c r="A1767" s="4" t="inlineStr">
        <is>
          <t>SERV-11763</t>
        </is>
      </c>
      <c r="B1767" s="5" t="inlineStr">
        <is>
          <t>Guardas Municipais e Fiscais de Postura</t>
        </is>
      </c>
      <c r="C1767" s="4" t="inlineStr">
        <is>
          <t>Efetivo Concursado</t>
        </is>
      </c>
      <c r="D1767" s="4" t="inlineStr">
        <is>
          <t>SEC-SEG</t>
        </is>
      </c>
      <c r="E1767" s="6" t="n">
        <v>4970.98</v>
      </c>
      <c r="F1767" s="6">
        <f>E1767*0.22</f>
        <v/>
      </c>
      <c r="G1767" s="6">
        <f>E1767+F1767</f>
        <v/>
      </c>
      <c r="H1767" s="10" t="n">
        <v>9</v>
      </c>
      <c r="I1767" s="7">
        <f>H1767/(180*0.714)</f>
        <v/>
      </c>
    </row>
    <row r="1768">
      <c r="A1768" s="4" t="inlineStr">
        <is>
          <t>SERV-11764</t>
        </is>
      </c>
      <c r="B1768" s="5" t="inlineStr">
        <is>
          <t>Guardas Municipais e Fiscais de Postura</t>
        </is>
      </c>
      <c r="C1768" s="4" t="inlineStr">
        <is>
          <t>Efetivo Concursado</t>
        </is>
      </c>
      <c r="D1768" s="4" t="inlineStr">
        <is>
          <t>SEC-SEG</t>
        </is>
      </c>
      <c r="E1768" s="6" t="n">
        <v>5318.53</v>
      </c>
      <c r="F1768" s="6">
        <f>E1768*0.22</f>
        <v/>
      </c>
      <c r="G1768" s="6">
        <f>E1768+F1768</f>
        <v/>
      </c>
      <c r="H1768" s="10" t="n">
        <v>2</v>
      </c>
      <c r="I1768" s="7">
        <f>H1768/(180*0.714)</f>
        <v/>
      </c>
    </row>
    <row r="1769">
      <c r="A1769" s="4" t="inlineStr">
        <is>
          <t>SERV-11765</t>
        </is>
      </c>
      <c r="B1769" s="5" t="inlineStr">
        <is>
          <t>Guardas Municipais e Fiscais de Postura</t>
        </is>
      </c>
      <c r="C1769" s="4" t="inlineStr">
        <is>
          <t>Efetivo Concursado</t>
        </is>
      </c>
      <c r="D1769" s="4" t="inlineStr">
        <is>
          <t>SEC-SEG</t>
        </is>
      </c>
      <c r="E1769" s="6" t="n">
        <v>4940.8</v>
      </c>
      <c r="F1769" s="6">
        <f>E1769*0.22</f>
        <v/>
      </c>
      <c r="G1769" s="6">
        <f>E1769+F1769</f>
        <v/>
      </c>
      <c r="H1769" s="10" t="n">
        <v>2</v>
      </c>
      <c r="I1769" s="7">
        <f>H1769/(180*0.714)</f>
        <v/>
      </c>
    </row>
    <row r="1770">
      <c r="A1770" s="4" t="inlineStr">
        <is>
          <t>SERV-11766</t>
        </is>
      </c>
      <c r="B1770" s="5" t="inlineStr">
        <is>
          <t>Guardas Municipais e Fiscais de Postura</t>
        </is>
      </c>
      <c r="C1770" s="4" t="inlineStr">
        <is>
          <t>Efetivo Concursado</t>
        </is>
      </c>
      <c r="D1770" s="4" t="inlineStr">
        <is>
          <t>SEC-SEG</t>
        </is>
      </c>
      <c r="E1770" s="6" t="n">
        <v>4981.15</v>
      </c>
      <c r="F1770" s="6">
        <f>E1770*0.22</f>
        <v/>
      </c>
      <c r="G1770" s="6">
        <f>E1770+F1770</f>
        <v/>
      </c>
      <c r="H1770" s="10" t="n">
        <v>7</v>
      </c>
      <c r="I1770" s="7">
        <f>H1770/(180*0.714)</f>
        <v/>
      </c>
    </row>
    <row r="1771">
      <c r="A1771" s="4" t="inlineStr">
        <is>
          <t>SERV-11767</t>
        </is>
      </c>
      <c r="B1771" s="5" t="inlineStr">
        <is>
          <t>Guardas Municipais e Fiscais de Postura</t>
        </is>
      </c>
      <c r="C1771" s="4" t="inlineStr">
        <is>
          <t>Efetivo Concursado</t>
        </is>
      </c>
      <c r="D1771" s="4" t="inlineStr">
        <is>
          <t>SEC-SEG</t>
        </is>
      </c>
      <c r="E1771" s="6" t="n">
        <v>4706.88</v>
      </c>
      <c r="F1771" s="6">
        <f>E1771*0.22</f>
        <v/>
      </c>
      <c r="G1771" s="6">
        <f>E1771+F1771</f>
        <v/>
      </c>
      <c r="H1771" s="10" t="n">
        <v>3</v>
      </c>
      <c r="I1771" s="7">
        <f>H1771/(180*0.714)</f>
        <v/>
      </c>
    </row>
    <row r="1772">
      <c r="A1772" s="4" t="inlineStr">
        <is>
          <t>SERV-11768</t>
        </is>
      </c>
      <c r="B1772" s="5" t="inlineStr">
        <is>
          <t>Guardas Municipais e Fiscais de Postura</t>
        </is>
      </c>
      <c r="C1772" s="4" t="inlineStr">
        <is>
          <t>Efetivo Concursado</t>
        </is>
      </c>
      <c r="D1772" s="4" t="inlineStr">
        <is>
          <t>SEC-SEG</t>
        </is>
      </c>
      <c r="E1772" s="6" t="n">
        <v>5400.88</v>
      </c>
      <c r="F1772" s="6">
        <f>E1772*0.22</f>
        <v/>
      </c>
      <c r="G1772" s="6">
        <f>E1772+F1772</f>
        <v/>
      </c>
      <c r="H1772" s="10" t="n">
        <v>4</v>
      </c>
      <c r="I1772" s="7">
        <f>H1772/(180*0.714)</f>
        <v/>
      </c>
    </row>
    <row r="1773">
      <c r="A1773" s="4" t="inlineStr">
        <is>
          <t>SERV-11769</t>
        </is>
      </c>
      <c r="B1773" s="5" t="inlineStr">
        <is>
          <t>Guardas Municipais e Fiscais de Postura</t>
        </is>
      </c>
      <c r="C1773" s="4" t="inlineStr">
        <is>
          <t>Efetivo Concursado</t>
        </is>
      </c>
      <c r="D1773" s="4" t="inlineStr">
        <is>
          <t>SEC-SEG</t>
        </is>
      </c>
      <c r="E1773" s="6" t="n">
        <v>4680.77</v>
      </c>
      <c r="F1773" s="6">
        <f>E1773*0.22</f>
        <v/>
      </c>
      <c r="G1773" s="6">
        <f>E1773+F1773</f>
        <v/>
      </c>
      <c r="H1773" s="10" t="n">
        <v>2</v>
      </c>
      <c r="I1773" s="7">
        <f>H1773/(180*0.714)</f>
        <v/>
      </c>
    </row>
    <row r="1774">
      <c r="A1774" s="4" t="inlineStr">
        <is>
          <t>SERV-11770</t>
        </is>
      </c>
      <c r="B1774" s="5" t="inlineStr">
        <is>
          <t>Guardas Municipais e Fiscais de Postura</t>
        </is>
      </c>
      <c r="C1774" s="4" t="inlineStr">
        <is>
          <t>Efetivo Concursado</t>
        </is>
      </c>
      <c r="D1774" s="4" t="inlineStr">
        <is>
          <t>SEC-SEG</t>
        </is>
      </c>
      <c r="E1774" s="6" t="n">
        <v>5172.04</v>
      </c>
      <c r="F1774" s="6">
        <f>E1774*0.22</f>
        <v/>
      </c>
      <c r="G1774" s="6">
        <f>E1774+F1774</f>
        <v/>
      </c>
      <c r="H1774" s="10" t="n">
        <v>5</v>
      </c>
      <c r="I1774" s="7">
        <f>H1774/(180*0.714)</f>
        <v/>
      </c>
    </row>
    <row r="1775">
      <c r="A1775" s="4" t="inlineStr">
        <is>
          <t>SERV-11771</t>
        </is>
      </c>
      <c r="B1775" s="5" t="inlineStr">
        <is>
          <t>Guardas Municipais e Fiscais de Postura</t>
        </is>
      </c>
      <c r="C1775" s="4" t="inlineStr">
        <is>
          <t>Efetivo Concursado</t>
        </is>
      </c>
      <c r="D1775" s="4" t="inlineStr">
        <is>
          <t>SEC-SEG</t>
        </is>
      </c>
      <c r="E1775" s="6" t="n">
        <v>5216.39</v>
      </c>
      <c r="F1775" s="6">
        <f>E1775*0.22</f>
        <v/>
      </c>
      <c r="G1775" s="6">
        <f>E1775+F1775</f>
        <v/>
      </c>
      <c r="H1775" s="10" t="n">
        <v>2</v>
      </c>
      <c r="I1775" s="7">
        <f>H1775/(180*0.714)</f>
        <v/>
      </c>
    </row>
    <row r="1776">
      <c r="A1776" s="4" t="inlineStr">
        <is>
          <t>SERV-11772</t>
        </is>
      </c>
      <c r="B1776" s="5" t="inlineStr">
        <is>
          <t>Guardas Municipais e Fiscais de Postura</t>
        </is>
      </c>
      <c r="C1776" s="4" t="inlineStr">
        <is>
          <t>Efetivo Concursado</t>
        </is>
      </c>
      <c r="D1776" s="4" t="inlineStr">
        <is>
          <t>SEC-SEG</t>
        </is>
      </c>
      <c r="E1776" s="6" t="n">
        <v>4912.93</v>
      </c>
      <c r="F1776" s="6">
        <f>E1776*0.22</f>
        <v/>
      </c>
      <c r="G1776" s="6">
        <f>E1776+F1776</f>
        <v/>
      </c>
      <c r="H1776" s="10" t="n">
        <v>4</v>
      </c>
      <c r="I1776" s="7">
        <f>H1776/(180*0.714)</f>
        <v/>
      </c>
    </row>
    <row r="1777">
      <c r="A1777" s="4" t="inlineStr">
        <is>
          <t>SERV-11773</t>
        </is>
      </c>
      <c r="B1777" s="5" t="inlineStr">
        <is>
          <t>Guardas Municipais e Fiscais de Postura</t>
        </is>
      </c>
      <c r="C1777" s="4" t="inlineStr">
        <is>
          <t>Efetivo Concursado</t>
        </is>
      </c>
      <c r="D1777" s="4" t="inlineStr">
        <is>
          <t>SEC-SEG</t>
        </is>
      </c>
      <c r="E1777" s="6" t="n">
        <v>4627.55</v>
      </c>
      <c r="F1777" s="6">
        <f>E1777*0.22</f>
        <v/>
      </c>
      <c r="G1777" s="6">
        <f>E1777+F1777</f>
        <v/>
      </c>
      <c r="H1777" s="10" t="n">
        <v>2</v>
      </c>
      <c r="I1777" s="7">
        <f>H1777/(180*0.714)</f>
        <v/>
      </c>
    </row>
    <row r="1778">
      <c r="A1778" s="4" t="inlineStr">
        <is>
          <t>SERV-11774</t>
        </is>
      </c>
      <c r="B1778" s="5" t="inlineStr">
        <is>
          <t>Guardas Municipais e Fiscais de Postura</t>
        </is>
      </c>
      <c r="C1778" s="4" t="inlineStr">
        <is>
          <t>Efetivo Concursado</t>
        </is>
      </c>
      <c r="D1778" s="4" t="inlineStr">
        <is>
          <t>SEC-SEG</t>
        </is>
      </c>
      <c r="E1778" s="6" t="n">
        <v>4696.66</v>
      </c>
      <c r="F1778" s="6">
        <f>E1778*0.22</f>
        <v/>
      </c>
      <c r="G1778" s="6">
        <f>E1778+F1778</f>
        <v/>
      </c>
      <c r="H1778" s="10" t="n">
        <v>9</v>
      </c>
      <c r="I1778" s="7">
        <f>H1778/(180*0.714)</f>
        <v/>
      </c>
    </row>
    <row r="1779">
      <c r="A1779" s="4" t="inlineStr">
        <is>
          <t>SERV-11775</t>
        </is>
      </c>
      <c r="B1779" s="5" t="inlineStr">
        <is>
          <t>Guardas Municipais e Fiscais de Postura</t>
        </is>
      </c>
      <c r="C1779" s="4" t="inlineStr">
        <is>
          <t>Efetivo Concursado</t>
        </is>
      </c>
      <c r="D1779" s="4" t="inlineStr">
        <is>
          <t>SEC-SEG</t>
        </is>
      </c>
      <c r="E1779" s="6" t="n">
        <v>5245.97</v>
      </c>
      <c r="F1779" s="6">
        <f>E1779*0.22</f>
        <v/>
      </c>
      <c r="G1779" s="6">
        <f>E1779+F1779</f>
        <v/>
      </c>
      <c r="H1779" s="10" t="n">
        <v>3</v>
      </c>
      <c r="I1779" s="7">
        <f>H1779/(180*0.714)</f>
        <v/>
      </c>
    </row>
    <row r="1780">
      <c r="A1780" s="4" t="inlineStr">
        <is>
          <t>SERV-11776</t>
        </is>
      </c>
      <c r="B1780" s="5" t="inlineStr">
        <is>
          <t>Guardas Municipais e Fiscais de Postura</t>
        </is>
      </c>
      <c r="C1780" s="4" t="inlineStr">
        <is>
          <t>Efetivo Concursado</t>
        </is>
      </c>
      <c r="D1780" s="4" t="inlineStr">
        <is>
          <t>SEC-SEG</t>
        </is>
      </c>
      <c r="E1780" s="6" t="n">
        <v>4735.28</v>
      </c>
      <c r="F1780" s="6">
        <f>E1780*0.22</f>
        <v/>
      </c>
      <c r="G1780" s="6">
        <f>E1780+F1780</f>
        <v/>
      </c>
      <c r="H1780" s="10" t="n">
        <v>3</v>
      </c>
      <c r="I1780" s="7">
        <f>H1780/(180*0.714)</f>
        <v/>
      </c>
    </row>
    <row r="1781">
      <c r="A1781" s="4" t="inlineStr">
        <is>
          <t>SERV-11777</t>
        </is>
      </c>
      <c r="B1781" s="5" t="inlineStr">
        <is>
          <t>Guardas Municipais e Fiscais de Postura</t>
        </is>
      </c>
      <c r="C1781" s="4" t="inlineStr">
        <is>
          <t>Efetivo Concursado</t>
        </is>
      </c>
      <c r="D1781" s="4" t="inlineStr">
        <is>
          <t>SEC-SEG</t>
        </is>
      </c>
      <c r="E1781" s="6" t="n">
        <v>4895.54</v>
      </c>
      <c r="F1781" s="6">
        <f>E1781*0.22</f>
        <v/>
      </c>
      <c r="G1781" s="6">
        <f>E1781+F1781</f>
        <v/>
      </c>
      <c r="H1781" s="10" t="n">
        <v>4</v>
      </c>
      <c r="I1781" s="7">
        <f>H1781/(180*0.714)</f>
        <v/>
      </c>
    </row>
    <row r="1782">
      <c r="A1782" s="4" t="inlineStr">
        <is>
          <t>SERV-11778</t>
        </is>
      </c>
      <c r="B1782" s="5" t="inlineStr">
        <is>
          <t>Guardas Municipais e Fiscais de Postura</t>
        </is>
      </c>
      <c r="C1782" s="4" t="inlineStr">
        <is>
          <t>Efetivo Concursado</t>
        </is>
      </c>
      <c r="D1782" s="4" t="inlineStr">
        <is>
          <t>SEC-SEG</t>
        </is>
      </c>
      <c r="E1782" s="6" t="n">
        <v>4994.76</v>
      </c>
      <c r="F1782" s="6">
        <f>E1782*0.22</f>
        <v/>
      </c>
      <c r="G1782" s="6">
        <f>E1782+F1782</f>
        <v/>
      </c>
      <c r="H1782" s="10" t="n">
        <v>9</v>
      </c>
      <c r="I1782" s="7">
        <f>H1782/(180*0.714)</f>
        <v/>
      </c>
    </row>
    <row r="1783">
      <c r="A1783" s="4" t="inlineStr">
        <is>
          <t>SERV-11779</t>
        </is>
      </c>
      <c r="B1783" s="5" t="inlineStr">
        <is>
          <t>Guardas Municipais e Fiscais de Postura</t>
        </is>
      </c>
      <c r="C1783" s="4" t="inlineStr">
        <is>
          <t>Efetivo Concursado</t>
        </is>
      </c>
      <c r="D1783" s="4" t="inlineStr">
        <is>
          <t>SEC-SEG</t>
        </is>
      </c>
      <c r="E1783" s="6" t="n">
        <v>4962.94</v>
      </c>
      <c r="F1783" s="6">
        <f>E1783*0.22</f>
        <v/>
      </c>
      <c r="G1783" s="6">
        <f>E1783+F1783</f>
        <v/>
      </c>
      <c r="H1783" s="10" t="n">
        <v>9</v>
      </c>
      <c r="I1783" s="7">
        <f>H1783/(180*0.714)</f>
        <v/>
      </c>
    </row>
    <row r="1784">
      <c r="A1784" s="4" t="inlineStr">
        <is>
          <t>SERV-11780</t>
        </is>
      </c>
      <c r="B1784" s="5" t="inlineStr">
        <is>
          <t>Guardas Municipais e Fiscais de Postura</t>
        </is>
      </c>
      <c r="C1784" s="4" t="inlineStr">
        <is>
          <t>Efetivo Concursado</t>
        </is>
      </c>
      <c r="D1784" s="4" t="inlineStr">
        <is>
          <t>SEC-SEG</t>
        </is>
      </c>
      <c r="E1784" s="6" t="n">
        <v>5245.62</v>
      </c>
      <c r="F1784" s="6">
        <f>E1784*0.22</f>
        <v/>
      </c>
      <c r="G1784" s="6">
        <f>E1784+F1784</f>
        <v/>
      </c>
      <c r="H1784" s="10" t="n">
        <v>8</v>
      </c>
      <c r="I1784" s="7">
        <f>H1784/(180*0.714)</f>
        <v/>
      </c>
    </row>
    <row r="1785">
      <c r="A1785" s="4" t="inlineStr">
        <is>
          <t>SERV-11781</t>
        </is>
      </c>
      <c r="B1785" s="5" t="inlineStr">
        <is>
          <t>Guardas Municipais e Fiscais de Postura</t>
        </is>
      </c>
      <c r="C1785" s="4" t="inlineStr">
        <is>
          <t>Efetivo Concursado</t>
        </is>
      </c>
      <c r="D1785" s="4" t="inlineStr">
        <is>
          <t>SEC-SEG</t>
        </is>
      </c>
      <c r="E1785" s="6" t="n">
        <v>5165.64</v>
      </c>
      <c r="F1785" s="6">
        <f>E1785*0.22</f>
        <v/>
      </c>
      <c r="G1785" s="6">
        <f>E1785+F1785</f>
        <v/>
      </c>
      <c r="H1785" s="10" t="n">
        <v>9</v>
      </c>
      <c r="I1785" s="7">
        <f>H1785/(180*0.714)</f>
        <v/>
      </c>
    </row>
    <row r="1786">
      <c r="A1786" s="4" t="inlineStr">
        <is>
          <t>SERV-11782</t>
        </is>
      </c>
      <c r="B1786" s="5" t="inlineStr">
        <is>
          <t>Guardas Municipais e Fiscais de Postura</t>
        </is>
      </c>
      <c r="C1786" s="4" t="inlineStr">
        <is>
          <t>Efetivo Concursado</t>
        </is>
      </c>
      <c r="D1786" s="4" t="inlineStr">
        <is>
          <t>SEC-SEG</t>
        </is>
      </c>
      <c r="E1786" s="6" t="n">
        <v>4644.93</v>
      </c>
      <c r="F1786" s="6">
        <f>E1786*0.22</f>
        <v/>
      </c>
      <c r="G1786" s="6">
        <f>E1786+F1786</f>
        <v/>
      </c>
      <c r="H1786" s="10" t="n">
        <v>2</v>
      </c>
      <c r="I1786" s="7">
        <f>H1786/(180*0.714)</f>
        <v/>
      </c>
    </row>
    <row r="1787">
      <c r="A1787" s="4" t="inlineStr">
        <is>
          <t>SERV-11783</t>
        </is>
      </c>
      <c r="B1787" s="5" t="inlineStr">
        <is>
          <t>Guardas Municipais e Fiscais de Postura</t>
        </is>
      </c>
      <c r="C1787" s="4" t="inlineStr">
        <is>
          <t>Efetivo Concursado</t>
        </is>
      </c>
      <c r="D1787" s="4" t="inlineStr">
        <is>
          <t>SEC-SEG</t>
        </is>
      </c>
      <c r="E1787" s="6" t="n">
        <v>5236.94</v>
      </c>
      <c r="F1787" s="6">
        <f>E1787*0.22</f>
        <v/>
      </c>
      <c r="G1787" s="6">
        <f>E1787+F1787</f>
        <v/>
      </c>
      <c r="H1787" s="10" t="n">
        <v>4</v>
      </c>
      <c r="I1787" s="7">
        <f>H1787/(180*0.714)</f>
        <v/>
      </c>
    </row>
    <row r="1788">
      <c r="A1788" s="4" t="inlineStr">
        <is>
          <t>SERV-11784</t>
        </is>
      </c>
      <c r="B1788" s="5" t="inlineStr">
        <is>
          <t>Guardas Municipais e Fiscais de Postura</t>
        </is>
      </c>
      <c r="C1788" s="4" t="inlineStr">
        <is>
          <t>Efetivo Concursado</t>
        </is>
      </c>
      <c r="D1788" s="4" t="inlineStr">
        <is>
          <t>SEC-SEG</t>
        </is>
      </c>
      <c r="E1788" s="6" t="n">
        <v>5480.92</v>
      </c>
      <c r="F1788" s="6">
        <f>E1788*0.22</f>
        <v/>
      </c>
      <c r="G1788" s="6">
        <f>E1788+F1788</f>
        <v/>
      </c>
      <c r="H1788" s="10" t="n">
        <v>6</v>
      </c>
      <c r="I1788" s="7">
        <f>H1788/(180*0.714)</f>
        <v/>
      </c>
    </row>
    <row r="1789">
      <c r="A1789" s="4" t="inlineStr">
        <is>
          <t>SERV-11785</t>
        </is>
      </c>
      <c r="B1789" s="5" t="inlineStr">
        <is>
          <t>Guardas Municipais e Fiscais de Postura</t>
        </is>
      </c>
      <c r="C1789" s="4" t="inlineStr">
        <is>
          <t>Efetivo Concursado</t>
        </is>
      </c>
      <c r="D1789" s="4" t="inlineStr">
        <is>
          <t>SEC-SEG</t>
        </is>
      </c>
      <c r="E1789" s="6" t="n">
        <v>5051.4</v>
      </c>
      <c r="F1789" s="6">
        <f>E1789*0.22</f>
        <v/>
      </c>
      <c r="G1789" s="6">
        <f>E1789+F1789</f>
        <v/>
      </c>
      <c r="H1789" s="10" t="n">
        <v>8</v>
      </c>
      <c r="I1789" s="7">
        <f>H1789/(180*0.714)</f>
        <v/>
      </c>
    </row>
    <row r="1790">
      <c r="A1790" s="4" t="inlineStr">
        <is>
          <t>SERV-11786</t>
        </is>
      </c>
      <c r="B1790" s="5" t="inlineStr">
        <is>
          <t>Guardas Municipais e Fiscais de Postura</t>
        </is>
      </c>
      <c r="C1790" s="4" t="inlineStr">
        <is>
          <t>Efetivo Concursado</t>
        </is>
      </c>
      <c r="D1790" s="4" t="inlineStr">
        <is>
          <t>SEC-SEG</t>
        </is>
      </c>
      <c r="E1790" s="6" t="n">
        <v>4680.47</v>
      </c>
      <c r="F1790" s="6">
        <f>E1790*0.22</f>
        <v/>
      </c>
      <c r="G1790" s="6">
        <f>E1790+F1790</f>
        <v/>
      </c>
      <c r="H1790" s="10" t="n">
        <v>6</v>
      </c>
      <c r="I1790" s="7">
        <f>H1790/(180*0.714)</f>
        <v/>
      </c>
    </row>
    <row r="1791">
      <c r="A1791" s="4" t="inlineStr">
        <is>
          <t>SERV-11787</t>
        </is>
      </c>
      <c r="B1791" s="5" t="inlineStr">
        <is>
          <t>Guardas Municipais e Fiscais de Postura</t>
        </is>
      </c>
      <c r="C1791" s="4" t="inlineStr">
        <is>
          <t>Efetivo Concursado</t>
        </is>
      </c>
      <c r="D1791" s="4" t="inlineStr">
        <is>
          <t>SEC-SEG</t>
        </is>
      </c>
      <c r="E1791" s="6" t="n">
        <v>4845.9</v>
      </c>
      <c r="F1791" s="6">
        <f>E1791*0.22</f>
        <v/>
      </c>
      <c r="G1791" s="6">
        <f>E1791+F1791</f>
        <v/>
      </c>
      <c r="H1791" s="10" t="n">
        <v>2</v>
      </c>
      <c r="I1791" s="7">
        <f>H1791/(180*0.714)</f>
        <v/>
      </c>
    </row>
    <row r="1792">
      <c r="A1792" s="4" t="inlineStr">
        <is>
          <t>SERV-11788</t>
        </is>
      </c>
      <c r="B1792" s="5" t="inlineStr">
        <is>
          <t>Guardas Municipais e Fiscais de Postura</t>
        </is>
      </c>
      <c r="C1792" s="4" t="inlineStr">
        <is>
          <t>Efetivo Concursado</t>
        </is>
      </c>
      <c r="D1792" s="4" t="inlineStr">
        <is>
          <t>SEC-SEG</t>
        </is>
      </c>
      <c r="E1792" s="6" t="n">
        <v>5397.35</v>
      </c>
      <c r="F1792" s="6">
        <f>E1792*0.22</f>
        <v/>
      </c>
      <c r="G1792" s="6">
        <f>E1792+F1792</f>
        <v/>
      </c>
      <c r="H1792" s="10" t="n">
        <v>9</v>
      </c>
      <c r="I1792" s="7">
        <f>H1792/(180*0.714)</f>
        <v/>
      </c>
    </row>
    <row r="1793">
      <c r="A1793" s="4" t="inlineStr">
        <is>
          <t>SERV-11789</t>
        </is>
      </c>
      <c r="B1793" s="5" t="inlineStr">
        <is>
          <t>Guardas Municipais e Fiscais de Postura</t>
        </is>
      </c>
      <c r="C1793" s="4" t="inlineStr">
        <is>
          <t>Efetivo Concursado</t>
        </is>
      </c>
      <c r="D1793" s="4" t="inlineStr">
        <is>
          <t>SEC-SEG</t>
        </is>
      </c>
      <c r="E1793" s="6" t="n">
        <v>5018.29</v>
      </c>
      <c r="F1793" s="6">
        <f>E1793*0.22</f>
        <v/>
      </c>
      <c r="G1793" s="6">
        <f>E1793+F1793</f>
        <v/>
      </c>
      <c r="H1793" s="10" t="n">
        <v>8</v>
      </c>
      <c r="I1793" s="7">
        <f>H1793/(180*0.714)</f>
        <v/>
      </c>
    </row>
    <row r="1794">
      <c r="A1794" s="4" t="inlineStr">
        <is>
          <t>SERV-11790</t>
        </is>
      </c>
      <c r="B1794" s="5" t="inlineStr">
        <is>
          <t>Guardas Municipais e Fiscais de Postura</t>
        </is>
      </c>
      <c r="C1794" s="4" t="inlineStr">
        <is>
          <t>Efetivo Concursado</t>
        </is>
      </c>
      <c r="D1794" s="4" t="inlineStr">
        <is>
          <t>SEC-SEG</t>
        </is>
      </c>
      <c r="E1794" s="6" t="n">
        <v>5226.27</v>
      </c>
      <c r="F1794" s="6">
        <f>E1794*0.22</f>
        <v/>
      </c>
      <c r="G1794" s="6">
        <f>E1794+F1794</f>
        <v/>
      </c>
      <c r="H1794" s="10" t="n">
        <v>6</v>
      </c>
      <c r="I1794" s="7">
        <f>H1794/(180*0.714)</f>
        <v/>
      </c>
    </row>
    <row r="1795">
      <c r="A1795" s="4" t="inlineStr">
        <is>
          <t>SERV-11791</t>
        </is>
      </c>
      <c r="B1795" s="5" t="inlineStr">
        <is>
          <t>Guardas Municipais e Fiscais de Postura</t>
        </is>
      </c>
      <c r="C1795" s="4" t="inlineStr">
        <is>
          <t>Efetivo Concursado</t>
        </is>
      </c>
      <c r="D1795" s="4" t="inlineStr">
        <is>
          <t>SEC-SEG</t>
        </is>
      </c>
      <c r="E1795" s="6" t="n">
        <v>4610.53</v>
      </c>
      <c r="F1795" s="6">
        <f>E1795*0.22</f>
        <v/>
      </c>
      <c r="G1795" s="6">
        <f>E1795+F1795</f>
        <v/>
      </c>
      <c r="H1795" s="10" t="n">
        <v>7</v>
      </c>
      <c r="I1795" s="7">
        <f>H1795/(180*0.714)</f>
        <v/>
      </c>
    </row>
    <row r="1796">
      <c r="A1796" s="4" t="inlineStr">
        <is>
          <t>SERV-11792</t>
        </is>
      </c>
      <c r="B1796" s="5" t="inlineStr">
        <is>
          <t>Guardas Municipais e Fiscais de Postura</t>
        </is>
      </c>
      <c r="C1796" s="4" t="inlineStr">
        <is>
          <t>Efetivo Concursado</t>
        </is>
      </c>
      <c r="D1796" s="4" t="inlineStr">
        <is>
          <t>SEC-SEG</t>
        </is>
      </c>
      <c r="E1796" s="6" t="n">
        <v>4671.36</v>
      </c>
      <c r="F1796" s="6">
        <f>E1796*0.22</f>
        <v/>
      </c>
      <c r="G1796" s="6">
        <f>E1796+F1796</f>
        <v/>
      </c>
      <c r="H1796" s="10" t="n">
        <v>6</v>
      </c>
      <c r="I1796" s="7">
        <f>H1796/(180*0.714)</f>
        <v/>
      </c>
    </row>
    <row r="1797">
      <c r="A1797" s="4" t="inlineStr">
        <is>
          <t>SERV-11793</t>
        </is>
      </c>
      <c r="B1797" s="5" t="inlineStr">
        <is>
          <t>Guardas Municipais e Fiscais de Postura</t>
        </is>
      </c>
      <c r="C1797" s="4" t="inlineStr">
        <is>
          <t>Efetivo Concursado</t>
        </is>
      </c>
      <c r="D1797" s="4" t="inlineStr">
        <is>
          <t>SEC-SEG</t>
        </is>
      </c>
      <c r="E1797" s="6" t="n">
        <v>5154.97</v>
      </c>
      <c r="F1797" s="6">
        <f>E1797*0.22</f>
        <v/>
      </c>
      <c r="G1797" s="6">
        <f>E1797+F1797</f>
        <v/>
      </c>
      <c r="H1797" s="10" t="n">
        <v>8</v>
      </c>
      <c r="I1797" s="7">
        <f>H1797/(180*0.714)</f>
        <v/>
      </c>
    </row>
    <row r="1798">
      <c r="A1798" s="4" t="inlineStr">
        <is>
          <t>SERV-11794</t>
        </is>
      </c>
      <c r="B1798" s="5" t="inlineStr">
        <is>
          <t>Guardas Municipais e Fiscais de Postura</t>
        </is>
      </c>
      <c r="C1798" s="4" t="inlineStr">
        <is>
          <t>Efetivo Concursado</t>
        </is>
      </c>
      <c r="D1798" s="4" t="inlineStr">
        <is>
          <t>SEC-SEG</t>
        </is>
      </c>
      <c r="E1798" s="6" t="n">
        <v>5314.22</v>
      </c>
      <c r="F1798" s="6">
        <f>E1798*0.22</f>
        <v/>
      </c>
      <c r="G1798" s="6">
        <f>E1798+F1798</f>
        <v/>
      </c>
      <c r="H1798" s="10" t="n">
        <v>5</v>
      </c>
      <c r="I1798" s="7">
        <f>H1798/(180*0.714)</f>
        <v/>
      </c>
    </row>
    <row r="1799">
      <c r="A1799" s="4" t="inlineStr">
        <is>
          <t>SERV-11795</t>
        </is>
      </c>
      <c r="B1799" s="5" t="inlineStr">
        <is>
          <t>Guardas Municipais e Fiscais de Postura</t>
        </is>
      </c>
      <c r="C1799" s="4" t="inlineStr">
        <is>
          <t>Efetivo Concursado</t>
        </is>
      </c>
      <c r="D1799" s="4" t="inlineStr">
        <is>
          <t>SEC-SEG</t>
        </is>
      </c>
      <c r="E1799" s="6" t="n">
        <v>5254.59</v>
      </c>
      <c r="F1799" s="6">
        <f>E1799*0.22</f>
        <v/>
      </c>
      <c r="G1799" s="6">
        <f>E1799+F1799</f>
        <v/>
      </c>
      <c r="H1799" s="10" t="n">
        <v>3</v>
      </c>
      <c r="I1799" s="7">
        <f>H1799/(180*0.714)</f>
        <v/>
      </c>
    </row>
    <row r="1800">
      <c r="A1800" s="4" t="inlineStr">
        <is>
          <t>SERV-11796</t>
        </is>
      </c>
      <c r="B1800" s="5" t="inlineStr">
        <is>
          <t>Guardas Municipais e Fiscais de Postura</t>
        </is>
      </c>
      <c r="C1800" s="4" t="inlineStr">
        <is>
          <t>Efetivo Concursado</t>
        </is>
      </c>
      <c r="D1800" s="4" t="inlineStr">
        <is>
          <t>SEC-SEG</t>
        </is>
      </c>
      <c r="E1800" s="6" t="n">
        <v>5035.28</v>
      </c>
      <c r="F1800" s="6">
        <f>E1800*0.22</f>
        <v/>
      </c>
      <c r="G1800" s="6">
        <f>E1800+F1800</f>
        <v/>
      </c>
      <c r="H1800" s="10" t="n">
        <v>2</v>
      </c>
      <c r="I1800" s="7">
        <f>H1800/(180*0.714)</f>
        <v/>
      </c>
    </row>
    <row r="1801">
      <c r="A1801" s="4" t="inlineStr">
        <is>
          <t>SERV-11797</t>
        </is>
      </c>
      <c r="B1801" s="5" t="inlineStr">
        <is>
          <t>Guardas Municipais e Fiscais de Postura</t>
        </is>
      </c>
      <c r="C1801" s="4" t="inlineStr">
        <is>
          <t>Efetivo Concursado</t>
        </is>
      </c>
      <c r="D1801" s="4" t="inlineStr">
        <is>
          <t>SEC-SEG</t>
        </is>
      </c>
      <c r="E1801" s="6" t="n">
        <v>4509.69</v>
      </c>
      <c r="F1801" s="6">
        <f>E1801*0.22</f>
        <v/>
      </c>
      <c r="G1801" s="6">
        <f>E1801+F1801</f>
        <v/>
      </c>
      <c r="H1801" s="10" t="n">
        <v>9</v>
      </c>
      <c r="I1801" s="7">
        <f>H1801/(180*0.714)</f>
        <v/>
      </c>
    </row>
    <row r="1802">
      <c r="A1802" s="4" t="inlineStr">
        <is>
          <t>SERV-11798</t>
        </is>
      </c>
      <c r="B1802" s="5" t="inlineStr">
        <is>
          <t>Guardas Municipais e Fiscais de Postura</t>
        </is>
      </c>
      <c r="C1802" s="4" t="inlineStr">
        <is>
          <t>Efetivo Concursado</t>
        </is>
      </c>
      <c r="D1802" s="4" t="inlineStr">
        <is>
          <t>SEC-SEG</t>
        </is>
      </c>
      <c r="E1802" s="6" t="n">
        <v>5247.93</v>
      </c>
      <c r="F1802" s="6">
        <f>E1802*0.22</f>
        <v/>
      </c>
      <c r="G1802" s="6">
        <f>E1802+F1802</f>
        <v/>
      </c>
      <c r="H1802" s="10" t="n">
        <v>5</v>
      </c>
      <c r="I1802" s="7">
        <f>H1802/(180*0.714)</f>
        <v/>
      </c>
    </row>
    <row r="1803">
      <c r="A1803" s="4" t="inlineStr">
        <is>
          <t>SERV-11799</t>
        </is>
      </c>
      <c r="B1803" s="5" t="inlineStr">
        <is>
          <t>Guardas Municipais e Fiscais de Postura</t>
        </is>
      </c>
      <c r="C1803" s="4" t="inlineStr">
        <is>
          <t>Efetivo Concursado</t>
        </is>
      </c>
      <c r="D1803" s="4" t="inlineStr">
        <is>
          <t>SEC-SEG</t>
        </is>
      </c>
      <c r="E1803" s="6" t="n">
        <v>5286.08</v>
      </c>
      <c r="F1803" s="6">
        <f>E1803*0.22</f>
        <v/>
      </c>
      <c r="G1803" s="6">
        <f>E1803+F1803</f>
        <v/>
      </c>
      <c r="H1803" s="10" t="n">
        <v>8</v>
      </c>
      <c r="I1803" s="7">
        <f>H1803/(180*0.714)</f>
        <v/>
      </c>
    </row>
    <row r="1804">
      <c r="A1804" s="4" t="inlineStr">
        <is>
          <t>SERV-11800</t>
        </is>
      </c>
      <c r="B1804" s="5" t="inlineStr">
        <is>
          <t>Guardas Municipais e Fiscais de Postura</t>
        </is>
      </c>
      <c r="C1804" s="4" t="inlineStr">
        <is>
          <t>Efetivo Concursado</t>
        </is>
      </c>
      <c r="D1804" s="4" t="inlineStr">
        <is>
          <t>SEC-SEG</t>
        </is>
      </c>
      <c r="E1804" s="6" t="n">
        <v>5149.8</v>
      </c>
      <c r="F1804" s="6">
        <f>E1804*0.22</f>
        <v/>
      </c>
      <c r="G1804" s="6">
        <f>E1804+F1804</f>
        <v/>
      </c>
      <c r="H1804" s="10" t="n">
        <v>8</v>
      </c>
      <c r="I1804" s="7">
        <f>H1804/(180*0.714)</f>
        <v/>
      </c>
    </row>
    <row r="1805">
      <c r="A1805" s="4" t="inlineStr">
        <is>
          <t>SERV-11801</t>
        </is>
      </c>
      <c r="B1805" s="5" t="inlineStr">
        <is>
          <t>Guardas Municipais e Fiscais de Postura</t>
        </is>
      </c>
      <c r="C1805" s="4" t="inlineStr">
        <is>
          <t>Efetivo Concursado</t>
        </is>
      </c>
      <c r="D1805" s="4" t="inlineStr">
        <is>
          <t>SEC-SEG</t>
        </is>
      </c>
      <c r="E1805" s="6" t="n">
        <v>4942.16</v>
      </c>
      <c r="F1805" s="6">
        <f>E1805*0.22</f>
        <v/>
      </c>
      <c r="G1805" s="6">
        <f>E1805+F1805</f>
        <v/>
      </c>
      <c r="H1805" s="10" t="n">
        <v>5</v>
      </c>
      <c r="I1805" s="7">
        <f>H1805/(180*0.714)</f>
        <v/>
      </c>
    </row>
    <row r="1806">
      <c r="A1806" s="4" t="inlineStr">
        <is>
          <t>SERV-11802</t>
        </is>
      </c>
      <c r="B1806" s="5" t="inlineStr">
        <is>
          <t>Guardas Municipais e Fiscais de Postura</t>
        </is>
      </c>
      <c r="C1806" s="4" t="inlineStr">
        <is>
          <t>Efetivo Concursado</t>
        </is>
      </c>
      <c r="D1806" s="4" t="inlineStr">
        <is>
          <t>SEC-SEG</t>
        </is>
      </c>
      <c r="E1806" s="6" t="n">
        <v>4990.43</v>
      </c>
      <c r="F1806" s="6">
        <f>E1806*0.22</f>
        <v/>
      </c>
      <c r="G1806" s="6">
        <f>E1806+F1806</f>
        <v/>
      </c>
      <c r="H1806" s="10" t="n">
        <v>6</v>
      </c>
      <c r="I1806" s="7">
        <f>H1806/(180*0.714)</f>
        <v/>
      </c>
    </row>
    <row r="1807">
      <c r="A1807" s="4" t="inlineStr">
        <is>
          <t>SERV-11803</t>
        </is>
      </c>
      <c r="B1807" s="5" t="inlineStr">
        <is>
          <t>Guardas Municipais e Fiscais de Postura</t>
        </is>
      </c>
      <c r="C1807" s="4" t="inlineStr">
        <is>
          <t>Efetivo Concursado</t>
        </is>
      </c>
      <c r="D1807" s="4" t="inlineStr">
        <is>
          <t>SEC-SEG</t>
        </is>
      </c>
      <c r="E1807" s="6" t="n">
        <v>5267.2</v>
      </c>
      <c r="F1807" s="6">
        <f>E1807*0.22</f>
        <v/>
      </c>
      <c r="G1807" s="6">
        <f>E1807+F1807</f>
        <v/>
      </c>
      <c r="H1807" s="10" t="n">
        <v>7</v>
      </c>
      <c r="I1807" s="7">
        <f>H1807/(180*0.714)</f>
        <v/>
      </c>
    </row>
    <row r="1808">
      <c r="A1808" s="4" t="inlineStr">
        <is>
          <t>SERV-11804</t>
        </is>
      </c>
      <c r="B1808" s="5" t="inlineStr">
        <is>
          <t>Guardas Municipais e Fiscais de Postura</t>
        </is>
      </c>
      <c r="C1808" s="4" t="inlineStr">
        <is>
          <t>Efetivo Concursado</t>
        </is>
      </c>
      <c r="D1808" s="4" t="inlineStr">
        <is>
          <t>SEC-SEG</t>
        </is>
      </c>
      <c r="E1808" s="6" t="n">
        <v>5153.85</v>
      </c>
      <c r="F1808" s="6">
        <f>E1808*0.22</f>
        <v/>
      </c>
      <c r="G1808" s="6">
        <f>E1808+F1808</f>
        <v/>
      </c>
      <c r="H1808" s="10" t="n">
        <v>4</v>
      </c>
      <c r="I1808" s="7">
        <f>H1808/(180*0.714)</f>
        <v/>
      </c>
    </row>
    <row r="1809">
      <c r="A1809" s="4" t="inlineStr">
        <is>
          <t>SERV-11805</t>
        </is>
      </c>
      <c r="B1809" s="5" t="inlineStr">
        <is>
          <t>Guardas Municipais e Fiscais de Postura</t>
        </is>
      </c>
      <c r="C1809" s="4" t="inlineStr">
        <is>
          <t>Efetivo Concursado</t>
        </is>
      </c>
      <c r="D1809" s="4" t="inlineStr">
        <is>
          <t>SEC-SEG</t>
        </is>
      </c>
      <c r="E1809" s="6" t="n">
        <v>4697.51</v>
      </c>
      <c r="F1809" s="6">
        <f>E1809*0.22</f>
        <v/>
      </c>
      <c r="G1809" s="6">
        <f>E1809+F1809</f>
        <v/>
      </c>
      <c r="H1809" s="10" t="n">
        <v>2</v>
      </c>
      <c r="I1809" s="7">
        <f>H1809/(180*0.714)</f>
        <v/>
      </c>
    </row>
    <row r="1810">
      <c r="A1810" s="4" t="inlineStr">
        <is>
          <t>SERV-11806</t>
        </is>
      </c>
      <c r="B1810" s="5" t="inlineStr">
        <is>
          <t>Guardas Municipais e Fiscais de Postura</t>
        </is>
      </c>
      <c r="C1810" s="4" t="inlineStr">
        <is>
          <t>Efetivo Concursado</t>
        </is>
      </c>
      <c r="D1810" s="4" t="inlineStr">
        <is>
          <t>SEC-SEG</t>
        </is>
      </c>
      <c r="E1810" s="6" t="n">
        <v>4991.36</v>
      </c>
      <c r="F1810" s="6">
        <f>E1810*0.22</f>
        <v/>
      </c>
      <c r="G1810" s="6">
        <f>E1810+F1810</f>
        <v/>
      </c>
      <c r="H1810" s="10" t="n">
        <v>4</v>
      </c>
      <c r="I1810" s="7">
        <f>H1810/(180*0.714)</f>
        <v/>
      </c>
    </row>
    <row r="1811">
      <c r="A1811" s="4" t="inlineStr">
        <is>
          <t>SERV-11807</t>
        </is>
      </c>
      <c r="B1811" s="5" t="inlineStr">
        <is>
          <t>Guardas Municipais e Fiscais de Postura</t>
        </is>
      </c>
      <c r="C1811" s="4" t="inlineStr">
        <is>
          <t>Efetivo Concursado</t>
        </is>
      </c>
      <c r="D1811" s="4" t="inlineStr">
        <is>
          <t>SEC-SEG</t>
        </is>
      </c>
      <c r="E1811" s="6" t="n">
        <v>4812.98</v>
      </c>
      <c r="F1811" s="6">
        <f>E1811*0.22</f>
        <v/>
      </c>
      <c r="G1811" s="6">
        <f>E1811+F1811</f>
        <v/>
      </c>
      <c r="H1811" s="10" t="n">
        <v>9</v>
      </c>
      <c r="I1811" s="7">
        <f>H1811/(180*0.714)</f>
        <v/>
      </c>
    </row>
    <row r="1812">
      <c r="A1812" s="4" t="inlineStr">
        <is>
          <t>SERV-11808</t>
        </is>
      </c>
      <c r="B1812" s="5" t="inlineStr">
        <is>
          <t>Guardas Municipais e Fiscais de Postura</t>
        </is>
      </c>
      <c r="C1812" s="4" t="inlineStr">
        <is>
          <t>Efetivo Concursado</t>
        </is>
      </c>
      <c r="D1812" s="4" t="inlineStr">
        <is>
          <t>SEC-SEG</t>
        </is>
      </c>
      <c r="E1812" s="6" t="n">
        <v>5344.82</v>
      </c>
      <c r="F1812" s="6">
        <f>E1812*0.22</f>
        <v/>
      </c>
      <c r="G1812" s="6">
        <f>E1812+F1812</f>
        <v/>
      </c>
      <c r="H1812" s="10" t="n">
        <v>3</v>
      </c>
      <c r="I1812" s="7">
        <f>H1812/(180*0.714)</f>
        <v/>
      </c>
    </row>
    <row r="1813">
      <c r="A1813" s="4" t="inlineStr">
        <is>
          <t>SERV-11809</t>
        </is>
      </c>
      <c r="B1813" s="5" t="inlineStr">
        <is>
          <t>Guardas Municipais e Fiscais de Postura</t>
        </is>
      </c>
      <c r="C1813" s="4" t="inlineStr">
        <is>
          <t>Efetivo Concursado</t>
        </is>
      </c>
      <c r="D1813" s="4" t="inlineStr">
        <is>
          <t>SEC-SEG</t>
        </is>
      </c>
      <c r="E1813" s="6" t="n">
        <v>5167.72</v>
      </c>
      <c r="F1813" s="6">
        <f>E1813*0.22</f>
        <v/>
      </c>
      <c r="G1813" s="6">
        <f>E1813+F1813</f>
        <v/>
      </c>
      <c r="H1813" s="10" t="n">
        <v>5</v>
      </c>
      <c r="I1813" s="7">
        <f>H1813/(180*0.714)</f>
        <v/>
      </c>
    </row>
    <row r="1814">
      <c r="A1814" s="4" t="inlineStr">
        <is>
          <t>SERV-11810</t>
        </is>
      </c>
      <c r="B1814" s="5" t="inlineStr">
        <is>
          <t>Guardas Municipais e Fiscais de Postura</t>
        </is>
      </c>
      <c r="C1814" s="4" t="inlineStr">
        <is>
          <t>Efetivo Concursado</t>
        </is>
      </c>
      <c r="D1814" s="4" t="inlineStr">
        <is>
          <t>SEC-SEG</t>
        </is>
      </c>
      <c r="E1814" s="6" t="n">
        <v>4649.02</v>
      </c>
      <c r="F1814" s="6">
        <f>E1814*0.22</f>
        <v/>
      </c>
      <c r="G1814" s="6">
        <f>E1814+F1814</f>
        <v/>
      </c>
      <c r="H1814" s="10" t="n">
        <v>9</v>
      </c>
      <c r="I1814" s="7">
        <f>H1814/(180*0.714)</f>
        <v/>
      </c>
    </row>
    <row r="1815">
      <c r="A1815" s="4" t="inlineStr">
        <is>
          <t>SERV-11811</t>
        </is>
      </c>
      <c r="B1815" s="5" t="inlineStr">
        <is>
          <t>Guardas Municipais e Fiscais de Postura</t>
        </is>
      </c>
      <c r="C1815" s="4" t="inlineStr">
        <is>
          <t>Efetivo Concursado</t>
        </is>
      </c>
      <c r="D1815" s="4" t="inlineStr">
        <is>
          <t>SEC-SEG</t>
        </is>
      </c>
      <c r="E1815" s="6" t="n">
        <v>4928.1</v>
      </c>
      <c r="F1815" s="6">
        <f>E1815*0.22</f>
        <v/>
      </c>
      <c r="G1815" s="6">
        <f>E1815+F1815</f>
        <v/>
      </c>
      <c r="H1815" s="10" t="n">
        <v>8</v>
      </c>
      <c r="I1815" s="7">
        <f>H1815/(180*0.714)</f>
        <v/>
      </c>
    </row>
    <row r="1816">
      <c r="A1816" s="4" t="inlineStr">
        <is>
          <t>SERV-11812</t>
        </is>
      </c>
      <c r="B1816" s="5" t="inlineStr">
        <is>
          <t>Guardas Municipais e Fiscais de Postura</t>
        </is>
      </c>
      <c r="C1816" s="4" t="inlineStr">
        <is>
          <t>Efetivo Concursado</t>
        </is>
      </c>
      <c r="D1816" s="4" t="inlineStr">
        <is>
          <t>SEC-SEG</t>
        </is>
      </c>
      <c r="E1816" s="6" t="n">
        <v>4611.93</v>
      </c>
      <c r="F1816" s="6">
        <f>E1816*0.22</f>
        <v/>
      </c>
      <c r="G1816" s="6">
        <f>E1816+F1816</f>
        <v/>
      </c>
      <c r="H1816" s="10" t="n">
        <v>7</v>
      </c>
      <c r="I1816" s="7">
        <f>H1816/(180*0.714)</f>
        <v/>
      </c>
    </row>
    <row r="1817">
      <c r="A1817" s="4" t="inlineStr">
        <is>
          <t>SERV-11813</t>
        </is>
      </c>
      <c r="B1817" s="5" t="inlineStr">
        <is>
          <t>Guardas Municipais e Fiscais de Postura</t>
        </is>
      </c>
      <c r="C1817" s="4" t="inlineStr">
        <is>
          <t>Efetivo Concursado</t>
        </is>
      </c>
      <c r="D1817" s="4" t="inlineStr">
        <is>
          <t>SEC-SEG</t>
        </is>
      </c>
      <c r="E1817" s="6" t="n">
        <v>5056.95</v>
      </c>
      <c r="F1817" s="6">
        <f>E1817*0.22</f>
        <v/>
      </c>
      <c r="G1817" s="6">
        <f>E1817+F1817</f>
        <v/>
      </c>
      <c r="H1817" s="10" t="n">
        <v>9</v>
      </c>
      <c r="I1817" s="7">
        <f>H1817/(180*0.714)</f>
        <v/>
      </c>
    </row>
    <row r="1818">
      <c r="A1818" s="4" t="inlineStr">
        <is>
          <t>SERV-11814</t>
        </is>
      </c>
      <c r="B1818" s="5" t="inlineStr">
        <is>
          <t>Guardas Municipais e Fiscais de Postura</t>
        </is>
      </c>
      <c r="C1818" s="4" t="inlineStr">
        <is>
          <t>Efetivo Concursado</t>
        </is>
      </c>
      <c r="D1818" s="4" t="inlineStr">
        <is>
          <t>SEC-SEG</t>
        </is>
      </c>
      <c r="E1818" s="6" t="n">
        <v>4893.09</v>
      </c>
      <c r="F1818" s="6">
        <f>E1818*0.22</f>
        <v/>
      </c>
      <c r="G1818" s="6">
        <f>E1818+F1818</f>
        <v/>
      </c>
      <c r="H1818" s="10" t="n">
        <v>6</v>
      </c>
      <c r="I1818" s="7">
        <f>H1818/(180*0.714)</f>
        <v/>
      </c>
    </row>
    <row r="1819">
      <c r="A1819" s="4" t="inlineStr">
        <is>
          <t>SERV-11815</t>
        </is>
      </c>
      <c r="B1819" s="5" t="inlineStr">
        <is>
          <t>Guardas Municipais e Fiscais de Postura</t>
        </is>
      </c>
      <c r="C1819" s="4" t="inlineStr">
        <is>
          <t>Efetivo Concursado</t>
        </is>
      </c>
      <c r="D1819" s="4" t="inlineStr">
        <is>
          <t>SEC-SEG</t>
        </is>
      </c>
      <c r="E1819" s="6" t="n">
        <v>4835.63</v>
      </c>
      <c r="F1819" s="6">
        <f>E1819*0.22</f>
        <v/>
      </c>
      <c r="G1819" s="6">
        <f>E1819+F1819</f>
        <v/>
      </c>
      <c r="H1819" s="10" t="n">
        <v>3</v>
      </c>
      <c r="I1819" s="7">
        <f>H1819/(180*0.714)</f>
        <v/>
      </c>
    </row>
    <row r="1820">
      <c r="A1820" s="4" t="inlineStr">
        <is>
          <t>SERV-11816</t>
        </is>
      </c>
      <c r="B1820" s="5" t="inlineStr">
        <is>
          <t>Guardas Municipais e Fiscais de Postura</t>
        </is>
      </c>
      <c r="C1820" s="4" t="inlineStr">
        <is>
          <t>Efetivo Concursado</t>
        </is>
      </c>
      <c r="D1820" s="4" t="inlineStr">
        <is>
          <t>SEC-SEG</t>
        </is>
      </c>
      <c r="E1820" s="6" t="n">
        <v>5470.26</v>
      </c>
      <c r="F1820" s="6">
        <f>E1820*0.22</f>
        <v/>
      </c>
      <c r="G1820" s="6">
        <f>E1820+F1820</f>
        <v/>
      </c>
      <c r="H1820" s="10" t="n">
        <v>5</v>
      </c>
      <c r="I1820" s="7">
        <f>H1820/(180*0.714)</f>
        <v/>
      </c>
    </row>
    <row r="1821">
      <c r="A1821" s="4" t="inlineStr">
        <is>
          <t>SERV-11817</t>
        </is>
      </c>
      <c r="B1821" s="5" t="inlineStr">
        <is>
          <t>Guardas Municipais e Fiscais de Postura</t>
        </is>
      </c>
      <c r="C1821" s="4" t="inlineStr">
        <is>
          <t>Efetivo Concursado</t>
        </is>
      </c>
      <c r="D1821" s="4" t="inlineStr">
        <is>
          <t>SEC-SEG</t>
        </is>
      </c>
      <c r="E1821" s="6" t="n">
        <v>4836.8</v>
      </c>
      <c r="F1821" s="6">
        <f>E1821*0.22</f>
        <v/>
      </c>
      <c r="G1821" s="6">
        <f>E1821+F1821</f>
        <v/>
      </c>
      <c r="H1821" s="10" t="n">
        <v>7</v>
      </c>
      <c r="I1821" s="7">
        <f>H1821/(180*0.714)</f>
        <v/>
      </c>
    </row>
    <row r="1822">
      <c r="A1822" s="4" t="inlineStr">
        <is>
          <t>SERV-11818</t>
        </is>
      </c>
      <c r="B1822" s="5" t="inlineStr">
        <is>
          <t>Guardas Municipais e Fiscais de Postura</t>
        </is>
      </c>
      <c r="C1822" s="4" t="inlineStr">
        <is>
          <t>Efetivo Concursado</t>
        </is>
      </c>
      <c r="D1822" s="4" t="inlineStr">
        <is>
          <t>SEC-SEG</t>
        </is>
      </c>
      <c r="E1822" s="6" t="n">
        <v>5165.48</v>
      </c>
      <c r="F1822" s="6">
        <f>E1822*0.22</f>
        <v/>
      </c>
      <c r="G1822" s="6">
        <f>E1822+F1822</f>
        <v/>
      </c>
      <c r="H1822" s="10" t="n">
        <v>3</v>
      </c>
      <c r="I1822" s="7">
        <f>H1822/(180*0.714)</f>
        <v/>
      </c>
    </row>
    <row r="1823">
      <c r="A1823" s="4" t="inlineStr">
        <is>
          <t>SERV-11819</t>
        </is>
      </c>
      <c r="B1823" s="5" t="inlineStr">
        <is>
          <t>Guardas Municipais e Fiscais de Postura</t>
        </is>
      </c>
      <c r="C1823" s="4" t="inlineStr">
        <is>
          <t>Efetivo Concursado</t>
        </is>
      </c>
      <c r="D1823" s="4" t="inlineStr">
        <is>
          <t>SEC-SEG</t>
        </is>
      </c>
      <c r="E1823" s="6" t="n">
        <v>4632.48</v>
      </c>
      <c r="F1823" s="6">
        <f>E1823*0.22</f>
        <v/>
      </c>
      <c r="G1823" s="6">
        <f>E1823+F1823</f>
        <v/>
      </c>
      <c r="H1823" s="10" t="n">
        <v>2</v>
      </c>
      <c r="I1823" s="7">
        <f>H1823/(180*0.714)</f>
        <v/>
      </c>
    </row>
    <row r="1824">
      <c r="A1824" s="4" t="inlineStr">
        <is>
          <t>SERV-11820</t>
        </is>
      </c>
      <c r="B1824" s="5" t="inlineStr">
        <is>
          <t>Guardas Municipais e Fiscais de Postura</t>
        </is>
      </c>
      <c r="C1824" s="4" t="inlineStr">
        <is>
          <t>Efetivo Concursado</t>
        </is>
      </c>
      <c r="D1824" s="4" t="inlineStr">
        <is>
          <t>SEC-SEG</t>
        </is>
      </c>
      <c r="E1824" s="6" t="n">
        <v>5338.9</v>
      </c>
      <c r="F1824" s="6">
        <f>E1824*0.22</f>
        <v/>
      </c>
      <c r="G1824" s="6">
        <f>E1824+F1824</f>
        <v/>
      </c>
      <c r="H1824" s="10" t="n">
        <v>2</v>
      </c>
      <c r="I1824" s="7">
        <f>H1824/(180*0.714)</f>
        <v/>
      </c>
    </row>
    <row r="1825">
      <c r="A1825" s="4" t="inlineStr">
        <is>
          <t>SERV-11821</t>
        </is>
      </c>
      <c r="B1825" s="5" t="inlineStr">
        <is>
          <t>Guardas Municipais e Fiscais de Postura</t>
        </is>
      </c>
      <c r="C1825" s="4" t="inlineStr">
        <is>
          <t>Efetivo Concursado</t>
        </is>
      </c>
      <c r="D1825" s="4" t="inlineStr">
        <is>
          <t>SEC-SEG</t>
        </is>
      </c>
      <c r="E1825" s="6" t="n">
        <v>4907.81</v>
      </c>
      <c r="F1825" s="6">
        <f>E1825*0.22</f>
        <v/>
      </c>
      <c r="G1825" s="6">
        <f>E1825+F1825</f>
        <v/>
      </c>
      <c r="H1825" s="10" t="n">
        <v>9</v>
      </c>
      <c r="I1825" s="7">
        <f>H1825/(180*0.714)</f>
        <v/>
      </c>
    </row>
    <row r="1826">
      <c r="A1826" s="4" t="inlineStr">
        <is>
          <t>SERV-11822</t>
        </is>
      </c>
      <c r="B1826" s="5" t="inlineStr">
        <is>
          <t>Guardas Municipais e Fiscais de Postura</t>
        </is>
      </c>
      <c r="C1826" s="4" t="inlineStr">
        <is>
          <t>Efetivo Concursado</t>
        </is>
      </c>
      <c r="D1826" s="4" t="inlineStr">
        <is>
          <t>SEC-SEG</t>
        </is>
      </c>
      <c r="E1826" s="6" t="n">
        <v>5191.89</v>
      </c>
      <c r="F1826" s="6">
        <f>E1826*0.22</f>
        <v/>
      </c>
      <c r="G1826" s="6">
        <f>E1826+F1826</f>
        <v/>
      </c>
      <c r="H1826" s="10" t="n">
        <v>8</v>
      </c>
      <c r="I1826" s="7">
        <f>H1826/(180*0.714)</f>
        <v/>
      </c>
    </row>
    <row r="1827">
      <c r="A1827" s="4" t="inlineStr">
        <is>
          <t>SERV-11823</t>
        </is>
      </c>
      <c r="B1827" s="5" t="inlineStr">
        <is>
          <t>Guardas Municipais e Fiscais de Postura</t>
        </is>
      </c>
      <c r="C1827" s="4" t="inlineStr">
        <is>
          <t>Efetivo Concursado</t>
        </is>
      </c>
      <c r="D1827" s="4" t="inlineStr">
        <is>
          <t>SEC-SEG</t>
        </is>
      </c>
      <c r="E1827" s="6" t="n">
        <v>5416.74</v>
      </c>
      <c r="F1827" s="6">
        <f>E1827*0.22</f>
        <v/>
      </c>
      <c r="G1827" s="6">
        <f>E1827+F1827</f>
        <v/>
      </c>
      <c r="H1827" s="10" t="n">
        <v>2</v>
      </c>
      <c r="I1827" s="7">
        <f>H1827/(180*0.714)</f>
        <v/>
      </c>
    </row>
    <row r="1828">
      <c r="A1828" s="4" t="inlineStr">
        <is>
          <t>SERV-11824</t>
        </is>
      </c>
      <c r="B1828" s="5" t="inlineStr">
        <is>
          <t>Guardas Municipais e Fiscais de Postura</t>
        </is>
      </c>
      <c r="C1828" s="4" t="inlineStr">
        <is>
          <t>Efetivo Concursado</t>
        </is>
      </c>
      <c r="D1828" s="4" t="inlineStr">
        <is>
          <t>SEC-SEG</t>
        </is>
      </c>
      <c r="E1828" s="6" t="n">
        <v>5400.68</v>
      </c>
      <c r="F1828" s="6">
        <f>E1828*0.22</f>
        <v/>
      </c>
      <c r="G1828" s="6">
        <f>E1828+F1828</f>
        <v/>
      </c>
      <c r="H1828" s="10" t="n">
        <v>4</v>
      </c>
      <c r="I1828" s="7">
        <f>H1828/(180*0.714)</f>
        <v/>
      </c>
    </row>
    <row r="1829">
      <c r="A1829" s="4" t="inlineStr">
        <is>
          <t>SERV-11825</t>
        </is>
      </c>
      <c r="B1829" s="5" t="inlineStr">
        <is>
          <t>Guardas Municipais e Fiscais de Postura</t>
        </is>
      </c>
      <c r="C1829" s="4" t="inlineStr">
        <is>
          <t>Efetivo Concursado</t>
        </is>
      </c>
      <c r="D1829" s="4" t="inlineStr">
        <is>
          <t>SEC-SEG</t>
        </is>
      </c>
      <c r="E1829" s="6" t="n">
        <v>5256.28</v>
      </c>
      <c r="F1829" s="6">
        <f>E1829*0.22</f>
        <v/>
      </c>
      <c r="G1829" s="6">
        <f>E1829+F1829</f>
        <v/>
      </c>
      <c r="H1829" s="10" t="n">
        <v>4</v>
      </c>
      <c r="I1829" s="7">
        <f>H1829/(180*0.714)</f>
        <v/>
      </c>
    </row>
    <row r="1830">
      <c r="A1830" s="4" t="inlineStr">
        <is>
          <t>SERV-11826</t>
        </is>
      </c>
      <c r="B1830" s="5" t="inlineStr">
        <is>
          <t>Guardas Municipais e Fiscais de Postura</t>
        </is>
      </c>
      <c r="C1830" s="4" t="inlineStr">
        <is>
          <t>Efetivo Concursado</t>
        </is>
      </c>
      <c r="D1830" s="4" t="inlineStr">
        <is>
          <t>SEC-SEG</t>
        </is>
      </c>
      <c r="E1830" s="6" t="n">
        <v>5057.58</v>
      </c>
      <c r="F1830" s="6">
        <f>E1830*0.22</f>
        <v/>
      </c>
      <c r="G1830" s="6">
        <f>E1830+F1830</f>
        <v/>
      </c>
      <c r="H1830" s="10" t="n">
        <v>5</v>
      </c>
      <c r="I1830" s="7">
        <f>H1830/(180*0.714)</f>
        <v/>
      </c>
    </row>
    <row r="1831">
      <c r="A1831" s="4" t="inlineStr">
        <is>
          <t>SERV-11827</t>
        </is>
      </c>
      <c r="B1831" s="5" t="inlineStr">
        <is>
          <t>Guardas Municipais e Fiscais de Postura</t>
        </is>
      </c>
      <c r="C1831" s="4" t="inlineStr">
        <is>
          <t>Efetivo Concursado</t>
        </is>
      </c>
      <c r="D1831" s="4" t="inlineStr">
        <is>
          <t>SEC-SEG</t>
        </is>
      </c>
      <c r="E1831" s="6" t="n">
        <v>5289.13</v>
      </c>
      <c r="F1831" s="6">
        <f>E1831*0.22</f>
        <v/>
      </c>
      <c r="G1831" s="6">
        <f>E1831+F1831</f>
        <v/>
      </c>
      <c r="H1831" s="10" t="n">
        <v>9</v>
      </c>
      <c r="I1831" s="7">
        <f>H1831/(180*0.714)</f>
        <v/>
      </c>
    </row>
    <row r="1832">
      <c r="A1832" s="4" t="inlineStr">
        <is>
          <t>SERV-11828</t>
        </is>
      </c>
      <c r="B1832" s="5" t="inlineStr">
        <is>
          <t>Guardas Municipais e Fiscais de Postura</t>
        </is>
      </c>
      <c r="C1832" s="4" t="inlineStr">
        <is>
          <t>Efetivo Concursado</t>
        </is>
      </c>
      <c r="D1832" s="4" t="inlineStr">
        <is>
          <t>SEC-SEG</t>
        </is>
      </c>
      <c r="E1832" s="6" t="n">
        <v>4805.64</v>
      </c>
      <c r="F1832" s="6">
        <f>E1832*0.22</f>
        <v/>
      </c>
      <c r="G1832" s="6">
        <f>E1832+F1832</f>
        <v/>
      </c>
      <c r="H1832" s="10" t="n">
        <v>7</v>
      </c>
      <c r="I1832" s="7">
        <f>H1832/(180*0.714)</f>
        <v/>
      </c>
    </row>
    <row r="1833">
      <c r="A1833" s="4" t="inlineStr">
        <is>
          <t>SERV-11829</t>
        </is>
      </c>
      <c r="B1833" s="5" t="inlineStr">
        <is>
          <t>Guardas Municipais e Fiscais de Postura</t>
        </is>
      </c>
      <c r="C1833" s="4" t="inlineStr">
        <is>
          <t>Efetivo Concursado</t>
        </is>
      </c>
      <c r="D1833" s="4" t="inlineStr">
        <is>
          <t>SEC-SEG</t>
        </is>
      </c>
      <c r="E1833" s="6" t="n">
        <v>5063.51</v>
      </c>
      <c r="F1833" s="6">
        <f>E1833*0.22</f>
        <v/>
      </c>
      <c r="G1833" s="6">
        <f>E1833+F1833</f>
        <v/>
      </c>
      <c r="H1833" s="10" t="n">
        <v>6</v>
      </c>
      <c r="I1833" s="7">
        <f>H1833/(180*0.714)</f>
        <v/>
      </c>
    </row>
    <row r="1834">
      <c r="A1834" s="4" t="inlineStr">
        <is>
          <t>SERV-11830</t>
        </is>
      </c>
      <c r="B1834" s="5" t="inlineStr">
        <is>
          <t>Guardas Municipais e Fiscais de Postura</t>
        </is>
      </c>
      <c r="C1834" s="4" t="inlineStr">
        <is>
          <t>Efetivo Concursado</t>
        </is>
      </c>
      <c r="D1834" s="4" t="inlineStr">
        <is>
          <t>SEC-SEG</t>
        </is>
      </c>
      <c r="E1834" s="6" t="n">
        <v>4901.5</v>
      </c>
      <c r="F1834" s="6">
        <f>E1834*0.22</f>
        <v/>
      </c>
      <c r="G1834" s="6">
        <f>E1834+F1834</f>
        <v/>
      </c>
      <c r="H1834" s="10" t="n">
        <v>7</v>
      </c>
      <c r="I1834" s="7">
        <f>H1834/(180*0.714)</f>
        <v/>
      </c>
    </row>
    <row r="1835">
      <c r="A1835" s="4" t="inlineStr">
        <is>
          <t>SERV-11831</t>
        </is>
      </c>
      <c r="B1835" s="5" t="inlineStr">
        <is>
          <t>Guardas Municipais e Fiscais de Postura</t>
        </is>
      </c>
      <c r="C1835" s="4" t="inlineStr">
        <is>
          <t>Efetivo Concursado</t>
        </is>
      </c>
      <c r="D1835" s="4" t="inlineStr">
        <is>
          <t>SEC-SEG</t>
        </is>
      </c>
      <c r="E1835" s="6" t="n">
        <v>5470.77</v>
      </c>
      <c r="F1835" s="6">
        <f>E1835*0.22</f>
        <v/>
      </c>
      <c r="G1835" s="6">
        <f>E1835+F1835</f>
        <v/>
      </c>
      <c r="H1835" s="10" t="n">
        <v>3</v>
      </c>
      <c r="I1835" s="7">
        <f>H1835/(180*0.714)</f>
        <v/>
      </c>
    </row>
    <row r="1836">
      <c r="A1836" s="4" t="inlineStr">
        <is>
          <t>SERV-11832</t>
        </is>
      </c>
      <c r="B1836" s="5" t="inlineStr">
        <is>
          <t>Guardas Municipais e Fiscais de Postura</t>
        </is>
      </c>
      <c r="C1836" s="4" t="inlineStr">
        <is>
          <t>Efetivo Concursado</t>
        </is>
      </c>
      <c r="D1836" s="4" t="inlineStr">
        <is>
          <t>SEC-SEG</t>
        </is>
      </c>
      <c r="E1836" s="6" t="n">
        <v>5415.62</v>
      </c>
      <c r="F1836" s="6">
        <f>E1836*0.22</f>
        <v/>
      </c>
      <c r="G1836" s="6">
        <f>E1836+F1836</f>
        <v/>
      </c>
      <c r="H1836" s="10" t="n">
        <v>6</v>
      </c>
      <c r="I1836" s="7">
        <f>H1836/(180*0.714)</f>
        <v/>
      </c>
    </row>
    <row r="1837">
      <c r="A1837" s="4" t="inlineStr">
        <is>
          <t>SERV-11833</t>
        </is>
      </c>
      <c r="B1837" s="5" t="inlineStr">
        <is>
          <t>Guardas Municipais e Fiscais de Postura</t>
        </is>
      </c>
      <c r="C1837" s="4" t="inlineStr">
        <is>
          <t>Efetivo Concursado</t>
        </is>
      </c>
      <c r="D1837" s="4" t="inlineStr">
        <is>
          <t>SEC-SEG</t>
        </is>
      </c>
      <c r="E1837" s="6" t="n">
        <v>5321.5</v>
      </c>
      <c r="F1837" s="6">
        <f>E1837*0.22</f>
        <v/>
      </c>
      <c r="G1837" s="6">
        <f>E1837+F1837</f>
        <v/>
      </c>
      <c r="H1837" s="10" t="n">
        <v>9</v>
      </c>
      <c r="I1837" s="7">
        <f>H1837/(180*0.714)</f>
        <v/>
      </c>
    </row>
    <row r="1838">
      <c r="A1838" s="4" t="inlineStr">
        <is>
          <t>SERV-11834</t>
        </is>
      </c>
      <c r="B1838" s="5" t="inlineStr">
        <is>
          <t>Guardas Municipais e Fiscais de Postura</t>
        </is>
      </c>
      <c r="C1838" s="4" t="inlineStr">
        <is>
          <t>Efetivo Concursado</t>
        </is>
      </c>
      <c r="D1838" s="4" t="inlineStr">
        <is>
          <t>SEC-SEG</t>
        </is>
      </c>
      <c r="E1838" s="6" t="n">
        <v>4673.05</v>
      </c>
      <c r="F1838" s="6">
        <f>E1838*0.22</f>
        <v/>
      </c>
      <c r="G1838" s="6">
        <f>E1838+F1838</f>
        <v/>
      </c>
      <c r="H1838" s="10" t="n">
        <v>8</v>
      </c>
      <c r="I1838" s="7">
        <f>H1838/(180*0.714)</f>
        <v/>
      </c>
    </row>
    <row r="1839">
      <c r="A1839" s="4" t="inlineStr">
        <is>
          <t>SERV-11835</t>
        </is>
      </c>
      <c r="B1839" s="5" t="inlineStr">
        <is>
          <t>Assistente Administrativo / Operacional</t>
        </is>
      </c>
      <c r="C1839" s="4" t="inlineStr">
        <is>
          <t>Efetivo Concursado</t>
        </is>
      </c>
      <c r="D1839" s="4" t="inlineStr">
        <is>
          <t>SEC-ADM</t>
        </is>
      </c>
      <c r="E1839" s="6" t="n">
        <v>3305.92</v>
      </c>
      <c r="F1839" s="6">
        <f>E1839*0.22</f>
        <v/>
      </c>
      <c r="G1839" s="6">
        <f>E1839+F1839</f>
        <v/>
      </c>
      <c r="H1839" s="10" t="n">
        <v>14</v>
      </c>
      <c r="I1839" s="7">
        <f>H1839/(180*0.714)</f>
        <v/>
      </c>
    </row>
    <row r="1840">
      <c r="A1840" s="4" t="inlineStr">
        <is>
          <t>SERV-11836</t>
        </is>
      </c>
      <c r="B1840" s="5" t="inlineStr">
        <is>
          <t>Assistente Administrativo / Operacional</t>
        </is>
      </c>
      <c r="C1840" s="4" t="inlineStr">
        <is>
          <t>Efetivo Concursado</t>
        </is>
      </c>
      <c r="D1840" s="4" t="inlineStr">
        <is>
          <t>SEC-ADM</t>
        </is>
      </c>
      <c r="E1840" s="6" t="n">
        <v>3465.1</v>
      </c>
      <c r="F1840" s="6">
        <f>E1840*0.22</f>
        <v/>
      </c>
      <c r="G1840" s="6">
        <f>E1840+F1840</f>
        <v/>
      </c>
      <c r="H1840" s="10" t="n">
        <v>3</v>
      </c>
      <c r="I1840" s="7">
        <f>H1840/(180*0.714)</f>
        <v/>
      </c>
    </row>
    <row r="1841">
      <c r="A1841" s="4" t="inlineStr">
        <is>
          <t>SERV-11837</t>
        </is>
      </c>
      <c r="B1841" s="5" t="inlineStr">
        <is>
          <t>Assistente Administrativo / Operacional</t>
        </is>
      </c>
      <c r="C1841" s="4" t="inlineStr">
        <is>
          <t>Efetivo Concursado</t>
        </is>
      </c>
      <c r="D1841" s="4" t="inlineStr">
        <is>
          <t>SEC-ADM</t>
        </is>
      </c>
      <c r="E1841" s="6" t="n">
        <v>3005.11</v>
      </c>
      <c r="F1841" s="6">
        <f>E1841*0.22</f>
        <v/>
      </c>
      <c r="G1841" s="6">
        <f>E1841+F1841</f>
        <v/>
      </c>
      <c r="H1841" s="10" t="n">
        <v>9</v>
      </c>
      <c r="I1841" s="7">
        <f>H1841/(180*0.714)</f>
        <v/>
      </c>
    </row>
    <row r="1842">
      <c r="A1842" s="4" t="inlineStr">
        <is>
          <t>SERV-11838</t>
        </is>
      </c>
      <c r="B1842" s="5" t="inlineStr">
        <is>
          <t>Assistente Administrativo / Operacional</t>
        </is>
      </c>
      <c r="C1842" s="4" t="inlineStr">
        <is>
          <t>Efetivo Concursado</t>
        </is>
      </c>
      <c r="D1842" s="4" t="inlineStr">
        <is>
          <t>SEC-ADM</t>
        </is>
      </c>
      <c r="E1842" s="6" t="n">
        <v>3158.78</v>
      </c>
      <c r="F1842" s="6">
        <f>E1842*0.22</f>
        <v/>
      </c>
      <c r="G1842" s="6">
        <f>E1842+F1842</f>
        <v/>
      </c>
      <c r="H1842" s="10" t="n">
        <v>10</v>
      </c>
      <c r="I1842" s="7">
        <f>H1842/(180*0.714)</f>
        <v/>
      </c>
    </row>
    <row r="1843">
      <c r="A1843" s="4" t="inlineStr">
        <is>
          <t>SERV-11839</t>
        </is>
      </c>
      <c r="B1843" s="5" t="inlineStr">
        <is>
          <t>Assistente Administrativo / Operacional</t>
        </is>
      </c>
      <c r="C1843" s="4" t="inlineStr">
        <is>
          <t>Efetivo Concursado</t>
        </is>
      </c>
      <c r="D1843" s="4" t="inlineStr">
        <is>
          <t>SEC-ADM</t>
        </is>
      </c>
      <c r="E1843" s="6" t="n">
        <v>2945.52</v>
      </c>
      <c r="F1843" s="6">
        <f>E1843*0.22</f>
        <v/>
      </c>
      <c r="G1843" s="6">
        <f>E1843+F1843</f>
        <v/>
      </c>
      <c r="H1843" s="10" t="n">
        <v>9</v>
      </c>
      <c r="I1843" s="7">
        <f>H1843/(180*0.714)</f>
        <v/>
      </c>
    </row>
    <row r="1844">
      <c r="A1844" s="4" t="inlineStr">
        <is>
          <t>SERV-11840</t>
        </is>
      </c>
      <c r="B1844" s="5" t="inlineStr">
        <is>
          <t>Assistente Administrativo / Operacional</t>
        </is>
      </c>
      <c r="C1844" s="4" t="inlineStr">
        <is>
          <t>Efetivo Concursado</t>
        </is>
      </c>
      <c r="D1844" s="4" t="inlineStr">
        <is>
          <t>SEC-ADM</t>
        </is>
      </c>
      <c r="E1844" s="6" t="n">
        <v>2972.96</v>
      </c>
      <c r="F1844" s="6">
        <f>E1844*0.22</f>
        <v/>
      </c>
      <c r="G1844" s="6">
        <f>E1844+F1844</f>
        <v/>
      </c>
      <c r="H1844" s="10" t="n">
        <v>5</v>
      </c>
      <c r="I1844" s="7">
        <f>H1844/(180*0.714)</f>
        <v/>
      </c>
    </row>
    <row r="1845">
      <c r="A1845" s="4" t="inlineStr">
        <is>
          <t>SERV-11841</t>
        </is>
      </c>
      <c r="B1845" s="5" t="inlineStr">
        <is>
          <t>Assistente Administrativo / Operacional</t>
        </is>
      </c>
      <c r="C1845" s="4" t="inlineStr">
        <is>
          <t>Efetivo Concursado</t>
        </is>
      </c>
      <c r="D1845" s="4" t="inlineStr">
        <is>
          <t>SEC-ADM</t>
        </is>
      </c>
      <c r="E1845" s="6" t="n">
        <v>2980.01</v>
      </c>
      <c r="F1845" s="6">
        <f>E1845*0.22</f>
        <v/>
      </c>
      <c r="G1845" s="6">
        <f>E1845+F1845</f>
        <v/>
      </c>
      <c r="H1845" s="10" t="n">
        <v>11</v>
      </c>
      <c r="I1845" s="7">
        <f>H1845/(180*0.714)</f>
        <v/>
      </c>
    </row>
    <row r="1846">
      <c r="A1846" s="4" t="inlineStr">
        <is>
          <t>SERV-11842</t>
        </is>
      </c>
      <c r="B1846" s="5" t="inlineStr">
        <is>
          <t>Assistente Administrativo / Operacional</t>
        </is>
      </c>
      <c r="C1846" s="4" t="inlineStr">
        <is>
          <t>Efetivo Concursado</t>
        </is>
      </c>
      <c r="D1846" s="4" t="inlineStr">
        <is>
          <t>SEC-ADM</t>
        </is>
      </c>
      <c r="E1846" s="6" t="n">
        <v>3241.92</v>
      </c>
      <c r="F1846" s="6">
        <f>E1846*0.22</f>
        <v/>
      </c>
      <c r="G1846" s="6">
        <f>E1846+F1846</f>
        <v/>
      </c>
      <c r="H1846" s="10" t="n">
        <v>9</v>
      </c>
      <c r="I1846" s="7">
        <f>H1846/(180*0.714)</f>
        <v/>
      </c>
    </row>
    <row r="1847">
      <c r="A1847" s="4" t="inlineStr">
        <is>
          <t>SERV-11843</t>
        </is>
      </c>
      <c r="B1847" s="5" t="inlineStr">
        <is>
          <t>Assistente Administrativo / Operacional</t>
        </is>
      </c>
      <c r="C1847" s="4" t="inlineStr">
        <is>
          <t>Efetivo Concursado</t>
        </is>
      </c>
      <c r="D1847" s="4" t="inlineStr">
        <is>
          <t>SEC-ADM</t>
        </is>
      </c>
      <c r="E1847" s="6" t="n">
        <v>3448.22</v>
      </c>
      <c r="F1847" s="6">
        <f>E1847*0.22</f>
        <v/>
      </c>
      <c r="G1847" s="6">
        <f>E1847+F1847</f>
        <v/>
      </c>
      <c r="H1847" s="10" t="n">
        <v>14</v>
      </c>
      <c r="I1847" s="7">
        <f>H1847/(180*0.714)</f>
        <v/>
      </c>
    </row>
    <row r="1848">
      <c r="A1848" s="4" t="inlineStr">
        <is>
          <t>SERV-11844</t>
        </is>
      </c>
      <c r="B1848" s="5" t="inlineStr">
        <is>
          <t>Assistente Administrativo / Operacional</t>
        </is>
      </c>
      <c r="C1848" s="4" t="inlineStr">
        <is>
          <t>Efetivo Concursado</t>
        </is>
      </c>
      <c r="D1848" s="4" t="inlineStr">
        <is>
          <t>SEC-ADM</t>
        </is>
      </c>
      <c r="E1848" s="6" t="n">
        <v>3428.03</v>
      </c>
      <c r="F1848" s="6">
        <f>E1848*0.22</f>
        <v/>
      </c>
      <c r="G1848" s="6">
        <f>E1848+F1848</f>
        <v/>
      </c>
      <c r="H1848" s="10" t="n">
        <v>13</v>
      </c>
      <c r="I1848" s="7">
        <f>H1848/(180*0.714)</f>
        <v/>
      </c>
    </row>
    <row r="1849">
      <c r="A1849" s="4" t="inlineStr">
        <is>
          <t>SERV-11845</t>
        </is>
      </c>
      <c r="B1849" s="5" t="inlineStr">
        <is>
          <t>Assistente Administrativo / Operacional</t>
        </is>
      </c>
      <c r="C1849" s="4" t="inlineStr">
        <is>
          <t>Efetivo Concursado</t>
        </is>
      </c>
      <c r="D1849" s="4" t="inlineStr">
        <is>
          <t>SEC-ADM</t>
        </is>
      </c>
      <c r="E1849" s="6" t="n">
        <v>3072.84</v>
      </c>
      <c r="F1849" s="6">
        <f>E1849*0.22</f>
        <v/>
      </c>
      <c r="G1849" s="6">
        <f>E1849+F1849</f>
        <v/>
      </c>
      <c r="H1849" s="10" t="n">
        <v>14</v>
      </c>
      <c r="I1849" s="7">
        <f>H1849/(180*0.714)</f>
        <v/>
      </c>
    </row>
    <row r="1850">
      <c r="A1850" s="4" t="inlineStr">
        <is>
          <t>SERV-11846</t>
        </is>
      </c>
      <c r="B1850" s="5" t="inlineStr">
        <is>
          <t>Assistente Administrativo / Operacional</t>
        </is>
      </c>
      <c r="C1850" s="4" t="inlineStr">
        <is>
          <t>Efetivo Concursado</t>
        </is>
      </c>
      <c r="D1850" s="4" t="inlineStr">
        <is>
          <t>SEC-ADM</t>
        </is>
      </c>
      <c r="E1850" s="6" t="n">
        <v>3254.98</v>
      </c>
      <c r="F1850" s="6">
        <f>E1850*0.22</f>
        <v/>
      </c>
      <c r="G1850" s="6">
        <f>E1850+F1850</f>
        <v/>
      </c>
      <c r="H1850" s="10" t="n">
        <v>4</v>
      </c>
      <c r="I1850" s="7">
        <f>H1850/(180*0.714)</f>
        <v/>
      </c>
    </row>
    <row r="1851">
      <c r="A1851" s="4" t="inlineStr">
        <is>
          <t>SERV-11847</t>
        </is>
      </c>
      <c r="B1851" s="5" t="inlineStr">
        <is>
          <t>Assistente Administrativo / Operacional</t>
        </is>
      </c>
      <c r="C1851" s="4" t="inlineStr">
        <is>
          <t>Efetivo Concursado</t>
        </is>
      </c>
      <c r="D1851" s="4" t="inlineStr">
        <is>
          <t>SEC-ADM</t>
        </is>
      </c>
      <c r="E1851" s="6" t="n">
        <v>3022.13</v>
      </c>
      <c r="F1851" s="6">
        <f>E1851*0.22</f>
        <v/>
      </c>
      <c r="G1851" s="6">
        <f>E1851+F1851</f>
        <v/>
      </c>
      <c r="H1851" s="10" t="n">
        <v>14</v>
      </c>
      <c r="I1851" s="7">
        <f>H1851/(180*0.714)</f>
        <v/>
      </c>
    </row>
    <row r="1852">
      <c r="A1852" s="4" t="inlineStr">
        <is>
          <t>SERV-11848</t>
        </is>
      </c>
      <c r="B1852" s="5" t="inlineStr">
        <is>
          <t>Assistente Administrativo / Operacional</t>
        </is>
      </c>
      <c r="C1852" s="4" t="inlineStr">
        <is>
          <t>Efetivo Concursado</t>
        </is>
      </c>
      <c r="D1852" s="4" t="inlineStr">
        <is>
          <t>SEC-ADM</t>
        </is>
      </c>
      <c r="E1852" s="6" t="n">
        <v>3177.68</v>
      </c>
      <c r="F1852" s="6">
        <f>E1852*0.22</f>
        <v/>
      </c>
      <c r="G1852" s="6">
        <f>E1852+F1852</f>
        <v/>
      </c>
      <c r="H1852" s="10" t="n">
        <v>4</v>
      </c>
      <c r="I1852" s="7">
        <f>H1852/(180*0.714)</f>
        <v/>
      </c>
    </row>
    <row r="1853">
      <c r="A1853" s="4" t="inlineStr">
        <is>
          <t>SERV-11849</t>
        </is>
      </c>
      <c r="B1853" s="5" t="inlineStr">
        <is>
          <t>Assistente Administrativo / Operacional</t>
        </is>
      </c>
      <c r="C1853" s="4" t="inlineStr">
        <is>
          <t>Efetivo Concursado</t>
        </is>
      </c>
      <c r="D1853" s="4" t="inlineStr">
        <is>
          <t>SEC-ADM</t>
        </is>
      </c>
      <c r="E1853" s="6" t="n">
        <v>2876.58</v>
      </c>
      <c r="F1853" s="6">
        <f>E1853*0.22</f>
        <v/>
      </c>
      <c r="G1853" s="6">
        <f>E1853+F1853</f>
        <v/>
      </c>
      <c r="H1853" s="10" t="n">
        <v>8</v>
      </c>
      <c r="I1853" s="7">
        <f>H1853/(180*0.714)</f>
        <v/>
      </c>
    </row>
    <row r="1854">
      <c r="A1854" s="4" t="inlineStr">
        <is>
          <t>SERV-11850</t>
        </is>
      </c>
      <c r="B1854" s="5" t="inlineStr">
        <is>
          <t>Assistente Administrativo / Operacional</t>
        </is>
      </c>
      <c r="C1854" s="4" t="inlineStr">
        <is>
          <t>Efetivo Concursado</t>
        </is>
      </c>
      <c r="D1854" s="4" t="inlineStr">
        <is>
          <t>SEC-ADM</t>
        </is>
      </c>
      <c r="E1854" s="6" t="n">
        <v>3303.76</v>
      </c>
      <c r="F1854" s="6">
        <f>E1854*0.22</f>
        <v/>
      </c>
      <c r="G1854" s="6">
        <f>E1854+F1854</f>
        <v/>
      </c>
      <c r="H1854" s="10" t="n">
        <v>4</v>
      </c>
      <c r="I1854" s="7">
        <f>H1854/(180*0.714)</f>
        <v/>
      </c>
    </row>
    <row r="1855">
      <c r="A1855" s="4" t="inlineStr">
        <is>
          <t>SERV-11851</t>
        </is>
      </c>
      <c r="B1855" s="5" t="inlineStr">
        <is>
          <t>Assistente Administrativo / Operacional</t>
        </is>
      </c>
      <c r="C1855" s="4" t="inlineStr">
        <is>
          <t>Efetivo Concursado</t>
        </is>
      </c>
      <c r="D1855" s="4" t="inlineStr">
        <is>
          <t>SEC-ADM</t>
        </is>
      </c>
      <c r="E1855" s="6" t="n">
        <v>3372.38</v>
      </c>
      <c r="F1855" s="6">
        <f>E1855*0.22</f>
        <v/>
      </c>
      <c r="G1855" s="6">
        <f>E1855+F1855</f>
        <v/>
      </c>
      <c r="H1855" s="10" t="n">
        <v>3</v>
      </c>
      <c r="I1855" s="7">
        <f>H1855/(180*0.714)</f>
        <v/>
      </c>
    </row>
    <row r="1856">
      <c r="A1856" s="4" t="inlineStr">
        <is>
          <t>SERV-11852</t>
        </is>
      </c>
      <c r="B1856" s="5" t="inlineStr">
        <is>
          <t>Assistente Administrativo / Operacional</t>
        </is>
      </c>
      <c r="C1856" s="4" t="inlineStr">
        <is>
          <t>Efetivo Concursado</t>
        </is>
      </c>
      <c r="D1856" s="4" t="inlineStr">
        <is>
          <t>SEC-ADM</t>
        </is>
      </c>
      <c r="E1856" s="6" t="n">
        <v>3255.33</v>
      </c>
      <c r="F1856" s="6">
        <f>E1856*0.22</f>
        <v/>
      </c>
      <c r="G1856" s="6">
        <f>E1856+F1856</f>
        <v/>
      </c>
      <c r="H1856" s="10" t="n">
        <v>3</v>
      </c>
      <c r="I1856" s="7">
        <f>H1856/(180*0.714)</f>
        <v/>
      </c>
    </row>
    <row r="1857">
      <c r="A1857" s="4" t="inlineStr">
        <is>
          <t>SERV-11853</t>
        </is>
      </c>
      <c r="B1857" s="5" t="inlineStr">
        <is>
          <t>Assistente Administrativo / Operacional</t>
        </is>
      </c>
      <c r="C1857" s="4" t="inlineStr">
        <is>
          <t>Efetivo Concursado</t>
        </is>
      </c>
      <c r="D1857" s="4" t="inlineStr">
        <is>
          <t>SEC-ADM</t>
        </is>
      </c>
      <c r="E1857" s="6" t="n">
        <v>3385.2</v>
      </c>
      <c r="F1857" s="6">
        <f>E1857*0.22</f>
        <v/>
      </c>
      <c r="G1857" s="6">
        <f>E1857+F1857</f>
        <v/>
      </c>
      <c r="H1857" s="10" t="n">
        <v>14</v>
      </c>
      <c r="I1857" s="7">
        <f>H1857/(180*0.714)</f>
        <v/>
      </c>
    </row>
    <row r="1858">
      <c r="A1858" s="4" t="inlineStr">
        <is>
          <t>SERV-11854</t>
        </is>
      </c>
      <c r="B1858" s="5" t="inlineStr">
        <is>
          <t>Assistente Administrativo / Operacional</t>
        </is>
      </c>
      <c r="C1858" s="4" t="inlineStr">
        <is>
          <t>Efetivo Concursado</t>
        </is>
      </c>
      <c r="D1858" s="4" t="inlineStr">
        <is>
          <t>SEC-ADM</t>
        </is>
      </c>
      <c r="E1858" s="6" t="n">
        <v>3403.58</v>
      </c>
      <c r="F1858" s="6">
        <f>E1858*0.22</f>
        <v/>
      </c>
      <c r="G1858" s="6">
        <f>E1858+F1858</f>
        <v/>
      </c>
      <c r="H1858" s="10" t="n">
        <v>3</v>
      </c>
      <c r="I1858" s="7">
        <f>H1858/(180*0.714)</f>
        <v/>
      </c>
    </row>
    <row r="1859">
      <c r="A1859" s="4" t="inlineStr">
        <is>
          <t>SERV-11855</t>
        </is>
      </c>
      <c r="B1859" s="5" t="inlineStr">
        <is>
          <t>Assistente Administrativo / Operacional</t>
        </is>
      </c>
      <c r="C1859" s="4" t="inlineStr">
        <is>
          <t>Efetivo Concursado</t>
        </is>
      </c>
      <c r="D1859" s="4" t="inlineStr">
        <is>
          <t>SEC-ADM</t>
        </is>
      </c>
      <c r="E1859" s="6" t="n">
        <v>3238.96</v>
      </c>
      <c r="F1859" s="6">
        <f>E1859*0.22</f>
        <v/>
      </c>
      <c r="G1859" s="6">
        <f>E1859+F1859</f>
        <v/>
      </c>
      <c r="H1859" s="10" t="n">
        <v>13</v>
      </c>
      <c r="I1859" s="7">
        <f>H1859/(180*0.714)</f>
        <v/>
      </c>
    </row>
    <row r="1860">
      <c r="A1860" s="4" t="inlineStr">
        <is>
          <t>SERV-11856</t>
        </is>
      </c>
      <c r="B1860" s="5" t="inlineStr">
        <is>
          <t>Assistente Administrativo / Operacional</t>
        </is>
      </c>
      <c r="C1860" s="4" t="inlineStr">
        <is>
          <t>Efetivo Concursado</t>
        </is>
      </c>
      <c r="D1860" s="4" t="inlineStr">
        <is>
          <t>SEC-ADM</t>
        </is>
      </c>
      <c r="E1860" s="6" t="n">
        <v>2915.91</v>
      </c>
      <c r="F1860" s="6">
        <f>E1860*0.22</f>
        <v/>
      </c>
      <c r="G1860" s="6">
        <f>E1860+F1860</f>
        <v/>
      </c>
      <c r="H1860" s="10" t="n">
        <v>14</v>
      </c>
      <c r="I1860" s="7">
        <f>H1860/(180*0.714)</f>
        <v/>
      </c>
    </row>
    <row r="1861">
      <c r="A1861" s="4" t="inlineStr">
        <is>
          <t>SERV-11857</t>
        </is>
      </c>
      <c r="B1861" s="5" t="inlineStr">
        <is>
          <t>Assistente Administrativo / Operacional</t>
        </is>
      </c>
      <c r="C1861" s="4" t="inlineStr">
        <is>
          <t>Efetivo Concursado</t>
        </is>
      </c>
      <c r="D1861" s="4" t="inlineStr">
        <is>
          <t>SEC-ADM</t>
        </is>
      </c>
      <c r="E1861" s="6" t="n">
        <v>3080.01</v>
      </c>
      <c r="F1861" s="6">
        <f>E1861*0.22</f>
        <v/>
      </c>
      <c r="G1861" s="6">
        <f>E1861+F1861</f>
        <v/>
      </c>
      <c r="H1861" s="10" t="n">
        <v>7</v>
      </c>
      <c r="I1861" s="7">
        <f>H1861/(180*0.714)</f>
        <v/>
      </c>
    </row>
    <row r="1862">
      <c r="A1862" s="4" t="inlineStr">
        <is>
          <t>SERV-11858</t>
        </is>
      </c>
      <c r="B1862" s="5" t="inlineStr">
        <is>
          <t>Assistente Administrativo / Operacional</t>
        </is>
      </c>
      <c r="C1862" s="4" t="inlineStr">
        <is>
          <t>Efetivo Concursado</t>
        </is>
      </c>
      <c r="D1862" s="4" t="inlineStr">
        <is>
          <t>SEC-ADM</t>
        </is>
      </c>
      <c r="E1862" s="6" t="n">
        <v>3246.54</v>
      </c>
      <c r="F1862" s="6">
        <f>E1862*0.22</f>
        <v/>
      </c>
      <c r="G1862" s="6">
        <f>E1862+F1862</f>
        <v/>
      </c>
      <c r="H1862" s="10" t="n">
        <v>8</v>
      </c>
      <c r="I1862" s="7">
        <f>H1862/(180*0.714)</f>
        <v/>
      </c>
    </row>
    <row r="1863">
      <c r="A1863" s="4" t="inlineStr">
        <is>
          <t>SERV-11859</t>
        </is>
      </c>
      <c r="B1863" s="5" t="inlineStr">
        <is>
          <t>Assistente Administrativo / Operacional</t>
        </is>
      </c>
      <c r="C1863" s="4" t="inlineStr">
        <is>
          <t>Efetivo Concursado</t>
        </is>
      </c>
      <c r="D1863" s="4" t="inlineStr">
        <is>
          <t>SEC-ADM</t>
        </is>
      </c>
      <c r="E1863" s="6" t="n">
        <v>3134.24</v>
      </c>
      <c r="F1863" s="6">
        <f>E1863*0.22</f>
        <v/>
      </c>
      <c r="G1863" s="6">
        <f>E1863+F1863</f>
        <v/>
      </c>
      <c r="H1863" s="10" t="n">
        <v>6</v>
      </c>
      <c r="I1863" s="7">
        <f>H1863/(180*0.714)</f>
        <v/>
      </c>
    </row>
    <row r="1864">
      <c r="A1864" s="4" t="inlineStr">
        <is>
          <t>SERV-11860</t>
        </is>
      </c>
      <c r="B1864" s="5" t="inlineStr">
        <is>
          <t>Assistente Administrativo / Operacional</t>
        </is>
      </c>
      <c r="C1864" s="4" t="inlineStr">
        <is>
          <t>Efetivo Concursado</t>
        </is>
      </c>
      <c r="D1864" s="4" t="inlineStr">
        <is>
          <t>SEC-ADM</t>
        </is>
      </c>
      <c r="E1864" s="6" t="n">
        <v>3462.81</v>
      </c>
      <c r="F1864" s="6">
        <f>E1864*0.22</f>
        <v/>
      </c>
      <c r="G1864" s="6">
        <f>E1864+F1864</f>
        <v/>
      </c>
      <c r="H1864" s="10" t="n">
        <v>3</v>
      </c>
      <c r="I1864" s="7">
        <f>H1864/(180*0.714)</f>
        <v/>
      </c>
    </row>
    <row r="1865">
      <c r="A1865" s="4" t="inlineStr">
        <is>
          <t>SERV-11861</t>
        </is>
      </c>
      <c r="B1865" s="5" t="inlineStr">
        <is>
          <t>Assistente Administrativo / Operacional</t>
        </is>
      </c>
      <c r="C1865" s="4" t="inlineStr">
        <is>
          <t>Efetivo Concursado</t>
        </is>
      </c>
      <c r="D1865" s="4" t="inlineStr">
        <is>
          <t>SEC-ADM</t>
        </is>
      </c>
      <c r="E1865" s="6" t="n">
        <v>3420.21</v>
      </c>
      <c r="F1865" s="6">
        <f>E1865*0.22</f>
        <v/>
      </c>
      <c r="G1865" s="6">
        <f>E1865+F1865</f>
        <v/>
      </c>
      <c r="H1865" s="10" t="n">
        <v>8</v>
      </c>
      <c r="I1865" s="7">
        <f>H1865/(180*0.714)</f>
        <v/>
      </c>
    </row>
    <row r="1866">
      <c r="A1866" s="4" t="inlineStr">
        <is>
          <t>SERV-11862</t>
        </is>
      </c>
      <c r="B1866" s="5" t="inlineStr">
        <is>
          <t>Assistente Administrativo / Operacional</t>
        </is>
      </c>
      <c r="C1866" s="4" t="inlineStr">
        <is>
          <t>Efetivo Concursado</t>
        </is>
      </c>
      <c r="D1866" s="4" t="inlineStr">
        <is>
          <t>SEC-ADM</t>
        </is>
      </c>
      <c r="E1866" s="6" t="n">
        <v>3152.75</v>
      </c>
      <c r="F1866" s="6">
        <f>E1866*0.22</f>
        <v/>
      </c>
      <c r="G1866" s="6">
        <f>E1866+F1866</f>
        <v/>
      </c>
      <c r="H1866" s="10" t="n">
        <v>13</v>
      </c>
      <c r="I1866" s="7">
        <f>H1866/(180*0.714)</f>
        <v/>
      </c>
    </row>
    <row r="1867">
      <c r="A1867" s="4" t="inlineStr">
        <is>
          <t>SERV-11863</t>
        </is>
      </c>
      <c r="B1867" s="5" t="inlineStr">
        <is>
          <t>Assistente Administrativo / Operacional</t>
        </is>
      </c>
      <c r="C1867" s="4" t="inlineStr">
        <is>
          <t>Efetivo Concursado</t>
        </is>
      </c>
      <c r="D1867" s="4" t="inlineStr">
        <is>
          <t>SEC-ADM</t>
        </is>
      </c>
      <c r="E1867" s="6" t="n">
        <v>3265.22</v>
      </c>
      <c r="F1867" s="6">
        <f>E1867*0.22</f>
        <v/>
      </c>
      <c r="G1867" s="6">
        <f>E1867+F1867</f>
        <v/>
      </c>
      <c r="H1867" s="10" t="n">
        <v>8</v>
      </c>
      <c r="I1867" s="7">
        <f>H1867/(180*0.714)</f>
        <v/>
      </c>
    </row>
    <row r="1868">
      <c r="A1868" s="4" t="inlineStr">
        <is>
          <t>SERV-11864</t>
        </is>
      </c>
      <c r="B1868" s="5" t="inlineStr">
        <is>
          <t>Assistente Administrativo / Operacional</t>
        </is>
      </c>
      <c r="C1868" s="4" t="inlineStr">
        <is>
          <t>Efetivo Concursado</t>
        </is>
      </c>
      <c r="D1868" s="4" t="inlineStr">
        <is>
          <t>SEC-ADM</t>
        </is>
      </c>
      <c r="E1868" s="6" t="n">
        <v>2926.17</v>
      </c>
      <c r="F1868" s="6">
        <f>E1868*0.22</f>
        <v/>
      </c>
      <c r="G1868" s="6">
        <f>E1868+F1868</f>
        <v/>
      </c>
      <c r="H1868" s="10" t="n">
        <v>4</v>
      </c>
      <c r="I1868" s="7">
        <f>H1868/(180*0.714)</f>
        <v/>
      </c>
    </row>
    <row r="1869">
      <c r="A1869" s="4" t="inlineStr">
        <is>
          <t>SERV-11865</t>
        </is>
      </c>
      <c r="B1869" s="5" t="inlineStr">
        <is>
          <t>Assistente Administrativo / Operacional</t>
        </is>
      </c>
      <c r="C1869" s="4" t="inlineStr">
        <is>
          <t>Efetivo Concursado</t>
        </is>
      </c>
      <c r="D1869" s="4" t="inlineStr">
        <is>
          <t>SEC-ADM</t>
        </is>
      </c>
      <c r="E1869" s="6" t="n">
        <v>3056.08</v>
      </c>
      <c r="F1869" s="6">
        <f>E1869*0.22</f>
        <v/>
      </c>
      <c r="G1869" s="6">
        <f>E1869+F1869</f>
        <v/>
      </c>
      <c r="H1869" s="10" t="n">
        <v>11</v>
      </c>
      <c r="I1869" s="7">
        <f>H1869/(180*0.714)</f>
        <v/>
      </c>
    </row>
    <row r="1870">
      <c r="A1870" s="4" t="inlineStr">
        <is>
          <t>SERV-11866</t>
        </is>
      </c>
      <c r="B1870" s="5" t="inlineStr">
        <is>
          <t>Assistente Administrativo / Operacional</t>
        </is>
      </c>
      <c r="C1870" s="4" t="inlineStr">
        <is>
          <t>Efetivo Concursado</t>
        </is>
      </c>
      <c r="D1870" s="4" t="inlineStr">
        <is>
          <t>SEC-ADM</t>
        </is>
      </c>
      <c r="E1870" s="6" t="n">
        <v>3287.5</v>
      </c>
      <c r="F1870" s="6">
        <f>E1870*0.22</f>
        <v/>
      </c>
      <c r="G1870" s="6">
        <f>E1870+F1870</f>
        <v/>
      </c>
      <c r="H1870" s="10" t="n">
        <v>7</v>
      </c>
      <c r="I1870" s="7">
        <f>H1870/(180*0.714)</f>
        <v/>
      </c>
    </row>
    <row r="1871">
      <c r="A1871" s="4" t="inlineStr">
        <is>
          <t>SERV-11867</t>
        </is>
      </c>
      <c r="B1871" s="5" t="inlineStr">
        <is>
          <t>Assistente Administrativo / Operacional</t>
        </is>
      </c>
      <c r="C1871" s="4" t="inlineStr">
        <is>
          <t>Efetivo Concursado</t>
        </is>
      </c>
      <c r="D1871" s="4" t="inlineStr">
        <is>
          <t>SEC-ADM</t>
        </is>
      </c>
      <c r="E1871" s="6" t="n">
        <v>3335.8</v>
      </c>
      <c r="F1871" s="6">
        <f>E1871*0.22</f>
        <v/>
      </c>
      <c r="G1871" s="6">
        <f>E1871+F1871</f>
        <v/>
      </c>
      <c r="H1871" s="10" t="n">
        <v>6</v>
      </c>
      <c r="I1871" s="7">
        <f>H1871/(180*0.714)</f>
        <v/>
      </c>
    </row>
    <row r="1872">
      <c r="A1872" s="4" t="inlineStr">
        <is>
          <t>SERV-11868</t>
        </is>
      </c>
      <c r="B1872" s="5" t="inlineStr">
        <is>
          <t>Assistente Administrativo / Operacional</t>
        </is>
      </c>
      <c r="C1872" s="4" t="inlineStr">
        <is>
          <t>Efetivo Concursado</t>
        </is>
      </c>
      <c r="D1872" s="4" t="inlineStr">
        <is>
          <t>SEC-ADM</t>
        </is>
      </c>
      <c r="E1872" s="6" t="n">
        <v>3242.99</v>
      </c>
      <c r="F1872" s="6">
        <f>E1872*0.22</f>
        <v/>
      </c>
      <c r="G1872" s="6">
        <f>E1872+F1872</f>
        <v/>
      </c>
      <c r="H1872" s="10" t="n">
        <v>5</v>
      </c>
      <c r="I1872" s="7">
        <f>H1872/(180*0.714)</f>
        <v/>
      </c>
    </row>
    <row r="1873">
      <c r="A1873" s="4" t="inlineStr">
        <is>
          <t>SERV-11869</t>
        </is>
      </c>
      <c r="B1873" s="5" t="inlineStr">
        <is>
          <t>Assistente Administrativo / Operacional</t>
        </is>
      </c>
      <c r="C1873" s="4" t="inlineStr">
        <is>
          <t>Efetivo Concursado</t>
        </is>
      </c>
      <c r="D1873" s="4" t="inlineStr">
        <is>
          <t>SEC-ADM</t>
        </is>
      </c>
      <c r="E1873" s="6" t="n">
        <v>3297.77</v>
      </c>
      <c r="F1873" s="6">
        <f>E1873*0.22</f>
        <v/>
      </c>
      <c r="G1873" s="6">
        <f>E1873+F1873</f>
        <v/>
      </c>
      <c r="H1873" s="10" t="n">
        <v>3</v>
      </c>
      <c r="I1873" s="7">
        <f>H1873/(180*0.714)</f>
        <v/>
      </c>
    </row>
    <row r="1874">
      <c r="A1874" s="4" t="inlineStr">
        <is>
          <t>SERV-11870</t>
        </is>
      </c>
      <c r="B1874" s="5" t="inlineStr">
        <is>
          <t>Assistente Administrativo / Operacional</t>
        </is>
      </c>
      <c r="C1874" s="4" t="inlineStr">
        <is>
          <t>Efetivo Concursado</t>
        </is>
      </c>
      <c r="D1874" s="4" t="inlineStr">
        <is>
          <t>SEC-ADM</t>
        </is>
      </c>
      <c r="E1874" s="6" t="n">
        <v>3075.92</v>
      </c>
      <c r="F1874" s="6">
        <f>E1874*0.22</f>
        <v/>
      </c>
      <c r="G1874" s="6">
        <f>E1874+F1874</f>
        <v/>
      </c>
      <c r="H1874" s="10" t="n">
        <v>8</v>
      </c>
      <c r="I1874" s="7">
        <f>H1874/(180*0.714)</f>
        <v/>
      </c>
    </row>
    <row r="1875">
      <c r="A1875" s="4" t="inlineStr">
        <is>
          <t>SERV-11871</t>
        </is>
      </c>
      <c r="B1875" s="5" t="inlineStr">
        <is>
          <t>Assistente Administrativo / Operacional</t>
        </is>
      </c>
      <c r="C1875" s="4" t="inlineStr">
        <is>
          <t>Efetivo Concursado</t>
        </is>
      </c>
      <c r="D1875" s="4" t="inlineStr">
        <is>
          <t>SEC-ADM</t>
        </is>
      </c>
      <c r="E1875" s="6" t="n">
        <v>2959.08</v>
      </c>
      <c r="F1875" s="6">
        <f>E1875*0.22</f>
        <v/>
      </c>
      <c r="G1875" s="6">
        <f>E1875+F1875</f>
        <v/>
      </c>
      <c r="H1875" s="10" t="n">
        <v>13</v>
      </c>
      <c r="I1875" s="7">
        <f>H1875/(180*0.714)</f>
        <v/>
      </c>
    </row>
    <row r="1876">
      <c r="A1876" s="4" t="inlineStr">
        <is>
          <t>SERV-11872</t>
        </is>
      </c>
      <c r="B1876" s="5" t="inlineStr">
        <is>
          <t>Assistente Administrativo / Operacional</t>
        </is>
      </c>
      <c r="C1876" s="4" t="inlineStr">
        <is>
          <t>Efetivo Concursado</t>
        </is>
      </c>
      <c r="D1876" s="4" t="inlineStr">
        <is>
          <t>SEC-ADM</t>
        </is>
      </c>
      <c r="E1876" s="6" t="n">
        <v>3334.57</v>
      </c>
      <c r="F1876" s="6">
        <f>E1876*0.22</f>
        <v/>
      </c>
      <c r="G1876" s="6">
        <f>E1876+F1876</f>
        <v/>
      </c>
      <c r="H1876" s="10" t="n">
        <v>4</v>
      </c>
      <c r="I1876" s="7">
        <f>H1876/(180*0.714)</f>
        <v/>
      </c>
    </row>
    <row r="1877">
      <c r="A1877" s="4" t="inlineStr">
        <is>
          <t>SERV-11873</t>
        </is>
      </c>
      <c r="B1877" s="5" t="inlineStr">
        <is>
          <t>Assistente Administrativo / Operacional</t>
        </is>
      </c>
      <c r="C1877" s="4" t="inlineStr">
        <is>
          <t>Efetivo Concursado</t>
        </is>
      </c>
      <c r="D1877" s="4" t="inlineStr">
        <is>
          <t>SEC-ADM</t>
        </is>
      </c>
      <c r="E1877" s="6" t="n">
        <v>3098.48</v>
      </c>
      <c r="F1877" s="6">
        <f>E1877*0.22</f>
        <v/>
      </c>
      <c r="G1877" s="6">
        <f>E1877+F1877</f>
        <v/>
      </c>
      <c r="H1877" s="10" t="n">
        <v>10</v>
      </c>
      <c r="I1877" s="7">
        <f>H1877/(180*0.714)</f>
        <v/>
      </c>
    </row>
    <row r="1878">
      <c r="A1878" s="4" t="inlineStr">
        <is>
          <t>SERV-11874</t>
        </is>
      </c>
      <c r="B1878" s="5" t="inlineStr">
        <is>
          <t>Assistente Administrativo / Operacional</t>
        </is>
      </c>
      <c r="C1878" s="4" t="inlineStr">
        <is>
          <t>Efetivo Concursado</t>
        </is>
      </c>
      <c r="D1878" s="4" t="inlineStr">
        <is>
          <t>SEC-ADM</t>
        </is>
      </c>
      <c r="E1878" s="6" t="n">
        <v>3271.75</v>
      </c>
      <c r="F1878" s="6">
        <f>E1878*0.22</f>
        <v/>
      </c>
      <c r="G1878" s="6">
        <f>E1878+F1878</f>
        <v/>
      </c>
      <c r="H1878" s="10" t="n">
        <v>7</v>
      </c>
      <c r="I1878" s="7">
        <f>H1878/(180*0.714)</f>
        <v/>
      </c>
    </row>
    <row r="1879">
      <c r="A1879" s="4" t="inlineStr">
        <is>
          <t>SERV-11875</t>
        </is>
      </c>
      <c r="B1879" s="5" t="inlineStr">
        <is>
          <t>Assistente Administrativo / Operacional</t>
        </is>
      </c>
      <c r="C1879" s="4" t="inlineStr">
        <is>
          <t>Efetivo Concursado</t>
        </is>
      </c>
      <c r="D1879" s="4" t="inlineStr">
        <is>
          <t>SEC-ADM</t>
        </is>
      </c>
      <c r="E1879" s="6" t="n">
        <v>3384.91</v>
      </c>
      <c r="F1879" s="6">
        <f>E1879*0.22</f>
        <v/>
      </c>
      <c r="G1879" s="6">
        <f>E1879+F1879</f>
        <v/>
      </c>
      <c r="H1879" s="10" t="n">
        <v>6</v>
      </c>
      <c r="I1879" s="7">
        <f>H1879/(180*0.714)</f>
        <v/>
      </c>
    </row>
    <row r="1880">
      <c r="A1880" s="4" t="inlineStr">
        <is>
          <t>SERV-11876</t>
        </is>
      </c>
      <c r="B1880" s="5" t="inlineStr">
        <is>
          <t>Assistente Administrativo / Operacional</t>
        </is>
      </c>
      <c r="C1880" s="4" t="inlineStr">
        <is>
          <t>Efetivo Concursado</t>
        </is>
      </c>
      <c r="D1880" s="4" t="inlineStr">
        <is>
          <t>SEC-ADM</t>
        </is>
      </c>
      <c r="E1880" s="6" t="n">
        <v>3116.15</v>
      </c>
      <c r="F1880" s="6">
        <f>E1880*0.22</f>
        <v/>
      </c>
      <c r="G1880" s="6">
        <f>E1880+F1880</f>
        <v/>
      </c>
      <c r="H1880" s="10" t="n">
        <v>12</v>
      </c>
      <c r="I1880" s="7">
        <f>H1880/(180*0.714)</f>
        <v/>
      </c>
    </row>
    <row r="1881">
      <c r="A1881" s="4" t="inlineStr">
        <is>
          <t>SERV-11877</t>
        </is>
      </c>
      <c r="B1881" s="5" t="inlineStr">
        <is>
          <t>Assistente Administrativo / Operacional</t>
        </is>
      </c>
      <c r="C1881" s="4" t="inlineStr">
        <is>
          <t>Efetivo Concursado</t>
        </is>
      </c>
      <c r="D1881" s="4" t="inlineStr">
        <is>
          <t>SEC-ADM</t>
        </is>
      </c>
      <c r="E1881" s="6" t="n">
        <v>3380.49</v>
      </c>
      <c r="F1881" s="6">
        <f>E1881*0.22</f>
        <v/>
      </c>
      <c r="G1881" s="6">
        <f>E1881+F1881</f>
        <v/>
      </c>
      <c r="H1881" s="10" t="n">
        <v>7</v>
      </c>
      <c r="I1881" s="7">
        <f>H1881/(180*0.714)</f>
        <v/>
      </c>
    </row>
    <row r="1882">
      <c r="A1882" s="4" t="inlineStr">
        <is>
          <t>SERV-11878</t>
        </is>
      </c>
      <c r="B1882" s="5" t="inlineStr">
        <is>
          <t>Assistente Administrativo / Operacional</t>
        </is>
      </c>
      <c r="C1882" s="4" t="inlineStr">
        <is>
          <t>Efetivo Concursado</t>
        </is>
      </c>
      <c r="D1882" s="4" t="inlineStr">
        <is>
          <t>SEC-ADM</t>
        </is>
      </c>
      <c r="E1882" s="6" t="n">
        <v>3136.45</v>
      </c>
      <c r="F1882" s="6">
        <f>E1882*0.22</f>
        <v/>
      </c>
      <c r="G1882" s="6">
        <f>E1882+F1882</f>
        <v/>
      </c>
      <c r="H1882" s="10" t="n">
        <v>9</v>
      </c>
      <c r="I1882" s="7">
        <f>H1882/(180*0.714)</f>
        <v/>
      </c>
    </row>
    <row r="1883">
      <c r="A1883" s="4" t="inlineStr">
        <is>
          <t>SERV-11879</t>
        </is>
      </c>
      <c r="B1883" s="5" t="inlineStr">
        <is>
          <t>Assistente Administrativo / Operacional</t>
        </is>
      </c>
      <c r="C1883" s="4" t="inlineStr">
        <is>
          <t>Efetivo Concursado</t>
        </is>
      </c>
      <c r="D1883" s="4" t="inlineStr">
        <is>
          <t>SEC-ADM</t>
        </is>
      </c>
      <c r="E1883" s="6" t="n">
        <v>3368.21</v>
      </c>
      <c r="F1883" s="6">
        <f>E1883*0.22</f>
        <v/>
      </c>
      <c r="G1883" s="6">
        <f>E1883+F1883</f>
        <v/>
      </c>
      <c r="H1883" s="10" t="n">
        <v>3</v>
      </c>
      <c r="I1883" s="7">
        <f>H1883/(180*0.714)</f>
        <v/>
      </c>
    </row>
    <row r="1884">
      <c r="A1884" s="4" t="inlineStr">
        <is>
          <t>SERV-11880</t>
        </is>
      </c>
      <c r="B1884" s="5" t="inlineStr">
        <is>
          <t>Assistente Administrativo / Operacional</t>
        </is>
      </c>
      <c r="C1884" s="4" t="inlineStr">
        <is>
          <t>Efetivo Concursado</t>
        </is>
      </c>
      <c r="D1884" s="4" t="inlineStr">
        <is>
          <t>SEC-ADM</t>
        </is>
      </c>
      <c r="E1884" s="6" t="n">
        <v>3219.32</v>
      </c>
      <c r="F1884" s="6">
        <f>E1884*0.22</f>
        <v/>
      </c>
      <c r="G1884" s="6">
        <f>E1884+F1884</f>
        <v/>
      </c>
      <c r="H1884" s="10" t="n">
        <v>9</v>
      </c>
      <c r="I1884" s="7">
        <f>H1884/(180*0.714)</f>
        <v/>
      </c>
    </row>
    <row r="1885">
      <c r="A1885" s="4" t="inlineStr">
        <is>
          <t>SERV-11881</t>
        </is>
      </c>
      <c r="B1885" s="5" t="inlineStr">
        <is>
          <t>Assistente Administrativo / Operacional</t>
        </is>
      </c>
      <c r="C1885" s="4" t="inlineStr">
        <is>
          <t>Efetivo Concursado</t>
        </is>
      </c>
      <c r="D1885" s="4" t="inlineStr">
        <is>
          <t>SEC-ADM</t>
        </is>
      </c>
      <c r="E1885" s="6" t="n">
        <v>3422.9</v>
      </c>
      <c r="F1885" s="6">
        <f>E1885*0.22</f>
        <v/>
      </c>
      <c r="G1885" s="6">
        <f>E1885+F1885</f>
        <v/>
      </c>
      <c r="H1885" s="10" t="n">
        <v>8</v>
      </c>
      <c r="I1885" s="7">
        <f>H1885/(180*0.714)</f>
        <v/>
      </c>
    </row>
    <row r="1886">
      <c r="A1886" s="4" t="inlineStr">
        <is>
          <t>SERV-11882</t>
        </is>
      </c>
      <c r="B1886" s="5" t="inlineStr">
        <is>
          <t>Assistente Administrativo / Operacional</t>
        </is>
      </c>
      <c r="C1886" s="4" t="inlineStr">
        <is>
          <t>Efetivo Concursado</t>
        </is>
      </c>
      <c r="D1886" s="4" t="inlineStr">
        <is>
          <t>SEC-ADM</t>
        </is>
      </c>
      <c r="E1886" s="6" t="n">
        <v>3358.98</v>
      </c>
      <c r="F1886" s="6">
        <f>E1886*0.22</f>
        <v/>
      </c>
      <c r="G1886" s="6">
        <f>E1886+F1886</f>
        <v/>
      </c>
      <c r="H1886" s="10" t="n">
        <v>6</v>
      </c>
      <c r="I1886" s="7">
        <f>H1886/(180*0.714)</f>
        <v/>
      </c>
    </row>
    <row r="1887">
      <c r="A1887" s="4" t="inlineStr">
        <is>
          <t>SERV-11883</t>
        </is>
      </c>
      <c r="B1887" s="5" t="inlineStr">
        <is>
          <t>Assistente Administrativo / Operacional</t>
        </is>
      </c>
      <c r="C1887" s="4" t="inlineStr">
        <is>
          <t>Efetivo Concursado</t>
        </is>
      </c>
      <c r="D1887" s="4" t="inlineStr">
        <is>
          <t>SEC-ADM</t>
        </is>
      </c>
      <c r="E1887" s="6" t="n">
        <v>3097.53</v>
      </c>
      <c r="F1887" s="6">
        <f>E1887*0.22</f>
        <v/>
      </c>
      <c r="G1887" s="6">
        <f>E1887+F1887</f>
        <v/>
      </c>
      <c r="H1887" s="10" t="n">
        <v>12</v>
      </c>
      <c r="I1887" s="7">
        <f>H1887/(180*0.714)</f>
        <v/>
      </c>
    </row>
    <row r="1888">
      <c r="A1888" s="4" t="inlineStr">
        <is>
          <t>SERV-11884</t>
        </is>
      </c>
      <c r="B1888" s="5" t="inlineStr">
        <is>
          <t>Assistente Administrativo / Operacional</t>
        </is>
      </c>
      <c r="C1888" s="4" t="inlineStr">
        <is>
          <t>Efetivo Concursado</t>
        </is>
      </c>
      <c r="D1888" s="4" t="inlineStr">
        <is>
          <t>SEC-ADM</t>
        </is>
      </c>
      <c r="E1888" s="6" t="n">
        <v>3264.62</v>
      </c>
      <c r="F1888" s="6">
        <f>E1888*0.22</f>
        <v/>
      </c>
      <c r="G1888" s="6">
        <f>E1888+F1888</f>
        <v/>
      </c>
      <c r="H1888" s="10" t="n">
        <v>13</v>
      </c>
      <c r="I1888" s="7">
        <f>H1888/(180*0.714)</f>
        <v/>
      </c>
    </row>
    <row r="1889">
      <c r="A1889" s="4" t="inlineStr">
        <is>
          <t>SERV-11885</t>
        </is>
      </c>
      <c r="B1889" s="5" t="inlineStr">
        <is>
          <t>Assistente Administrativo / Operacional</t>
        </is>
      </c>
      <c r="C1889" s="4" t="inlineStr">
        <is>
          <t>Efetivo Concursado</t>
        </is>
      </c>
      <c r="D1889" s="4" t="inlineStr">
        <is>
          <t>SEC-ADM</t>
        </is>
      </c>
      <c r="E1889" s="6" t="n">
        <v>3133.79</v>
      </c>
      <c r="F1889" s="6">
        <f>E1889*0.22</f>
        <v/>
      </c>
      <c r="G1889" s="6">
        <f>E1889+F1889</f>
        <v/>
      </c>
      <c r="H1889" s="10" t="n">
        <v>3</v>
      </c>
      <c r="I1889" s="7">
        <f>H1889/(180*0.714)</f>
        <v/>
      </c>
    </row>
    <row r="1890">
      <c r="A1890" s="4" t="inlineStr">
        <is>
          <t>SERV-11886</t>
        </is>
      </c>
      <c r="B1890" s="5" t="inlineStr">
        <is>
          <t>Assistente Administrativo / Operacional</t>
        </is>
      </c>
      <c r="C1890" s="4" t="inlineStr">
        <is>
          <t>Efetivo Concursado</t>
        </is>
      </c>
      <c r="D1890" s="4" t="inlineStr">
        <is>
          <t>SEC-ADM</t>
        </is>
      </c>
      <c r="E1890" s="6" t="n">
        <v>3012.91</v>
      </c>
      <c r="F1890" s="6">
        <f>E1890*0.22</f>
        <v/>
      </c>
      <c r="G1890" s="6">
        <f>E1890+F1890</f>
        <v/>
      </c>
      <c r="H1890" s="10" t="n">
        <v>9</v>
      </c>
      <c r="I1890" s="7">
        <f>H1890/(180*0.714)</f>
        <v/>
      </c>
    </row>
    <row r="1891">
      <c r="A1891" s="4" t="inlineStr">
        <is>
          <t>SERV-11887</t>
        </is>
      </c>
      <c r="B1891" s="5" t="inlineStr">
        <is>
          <t>Assistente Administrativo / Operacional</t>
        </is>
      </c>
      <c r="C1891" s="4" t="inlineStr">
        <is>
          <t>Efetivo Concursado</t>
        </is>
      </c>
      <c r="D1891" s="4" t="inlineStr">
        <is>
          <t>SEC-ADM</t>
        </is>
      </c>
      <c r="E1891" s="6" t="n">
        <v>3083.19</v>
      </c>
      <c r="F1891" s="6">
        <f>E1891*0.22</f>
        <v/>
      </c>
      <c r="G1891" s="6">
        <f>E1891+F1891</f>
        <v/>
      </c>
      <c r="H1891" s="10" t="n">
        <v>4</v>
      </c>
      <c r="I1891" s="7">
        <f>H1891/(180*0.714)</f>
        <v/>
      </c>
    </row>
    <row r="1892">
      <c r="A1892" s="4" t="inlineStr">
        <is>
          <t>SERV-11888</t>
        </is>
      </c>
      <c r="B1892" s="5" t="inlineStr">
        <is>
          <t>Assistente Administrativo / Operacional</t>
        </is>
      </c>
      <c r="C1892" s="4" t="inlineStr">
        <is>
          <t>Efetivo Concursado</t>
        </is>
      </c>
      <c r="D1892" s="4" t="inlineStr">
        <is>
          <t>SEC-ADM</t>
        </is>
      </c>
      <c r="E1892" s="6" t="n">
        <v>3354.44</v>
      </c>
      <c r="F1892" s="6">
        <f>E1892*0.22</f>
        <v/>
      </c>
      <c r="G1892" s="6">
        <f>E1892+F1892</f>
        <v/>
      </c>
      <c r="H1892" s="10" t="n">
        <v>11</v>
      </c>
      <c r="I1892" s="7">
        <f>H1892/(180*0.714)</f>
        <v/>
      </c>
    </row>
    <row r="1893">
      <c r="A1893" s="4" t="inlineStr">
        <is>
          <t>SERV-11889</t>
        </is>
      </c>
      <c r="B1893" s="5" t="inlineStr">
        <is>
          <t>Assistente Administrativo / Operacional</t>
        </is>
      </c>
      <c r="C1893" s="4" t="inlineStr">
        <is>
          <t>Efetivo Concursado</t>
        </is>
      </c>
      <c r="D1893" s="4" t="inlineStr">
        <is>
          <t>SEC-ADM</t>
        </is>
      </c>
      <c r="E1893" s="6" t="n">
        <v>3097.9</v>
      </c>
      <c r="F1893" s="6">
        <f>E1893*0.22</f>
        <v/>
      </c>
      <c r="G1893" s="6">
        <f>E1893+F1893</f>
        <v/>
      </c>
      <c r="H1893" s="10" t="n">
        <v>5</v>
      </c>
      <c r="I1893" s="7">
        <f>H1893/(180*0.714)</f>
        <v/>
      </c>
    </row>
    <row r="1894">
      <c r="A1894" s="4" t="inlineStr">
        <is>
          <t>SERV-11890</t>
        </is>
      </c>
      <c r="B1894" s="5" t="inlineStr">
        <is>
          <t>Assistente Administrativo / Operacional</t>
        </is>
      </c>
      <c r="C1894" s="4" t="inlineStr">
        <is>
          <t>Efetivo Concursado</t>
        </is>
      </c>
      <c r="D1894" s="4" t="inlineStr">
        <is>
          <t>SEC-ADM</t>
        </is>
      </c>
      <c r="E1894" s="6" t="n">
        <v>3316.42</v>
      </c>
      <c r="F1894" s="6">
        <f>E1894*0.22</f>
        <v/>
      </c>
      <c r="G1894" s="6">
        <f>E1894+F1894</f>
        <v/>
      </c>
      <c r="H1894" s="10" t="n">
        <v>7</v>
      </c>
      <c r="I1894" s="7">
        <f>H1894/(180*0.714)</f>
        <v/>
      </c>
    </row>
    <row r="1895">
      <c r="A1895" s="4" t="inlineStr">
        <is>
          <t>SERV-11891</t>
        </is>
      </c>
      <c r="B1895" s="5" t="inlineStr">
        <is>
          <t>Assistente Administrativo / Operacional</t>
        </is>
      </c>
      <c r="C1895" s="4" t="inlineStr">
        <is>
          <t>Efetivo Concursado</t>
        </is>
      </c>
      <c r="D1895" s="4" t="inlineStr">
        <is>
          <t>SEC-ADM</t>
        </is>
      </c>
      <c r="E1895" s="6" t="n">
        <v>3116.42</v>
      </c>
      <c r="F1895" s="6">
        <f>E1895*0.22</f>
        <v/>
      </c>
      <c r="G1895" s="6">
        <f>E1895+F1895</f>
        <v/>
      </c>
      <c r="H1895" s="10" t="n">
        <v>8</v>
      </c>
      <c r="I1895" s="7">
        <f>H1895/(180*0.714)</f>
        <v/>
      </c>
    </row>
    <row r="1896">
      <c r="A1896" s="4" t="inlineStr">
        <is>
          <t>SERV-11892</t>
        </is>
      </c>
      <c r="B1896" s="5" t="inlineStr">
        <is>
          <t>Assistente Administrativo / Operacional</t>
        </is>
      </c>
      <c r="C1896" s="4" t="inlineStr">
        <is>
          <t>Efetivo Concursado</t>
        </is>
      </c>
      <c r="D1896" s="4" t="inlineStr">
        <is>
          <t>SEC-ADM</t>
        </is>
      </c>
      <c r="E1896" s="6" t="n">
        <v>3228.39</v>
      </c>
      <c r="F1896" s="6">
        <f>E1896*0.22</f>
        <v/>
      </c>
      <c r="G1896" s="6">
        <f>E1896+F1896</f>
        <v/>
      </c>
      <c r="H1896" s="10" t="n">
        <v>14</v>
      </c>
      <c r="I1896" s="7">
        <f>H1896/(180*0.714)</f>
        <v/>
      </c>
    </row>
    <row r="1897">
      <c r="A1897" s="4" t="inlineStr">
        <is>
          <t>SERV-11893</t>
        </is>
      </c>
      <c r="B1897" s="5" t="inlineStr">
        <is>
          <t>Assistente Administrativo / Operacional</t>
        </is>
      </c>
      <c r="C1897" s="4" t="inlineStr">
        <is>
          <t>Efetivo Concursado</t>
        </is>
      </c>
      <c r="D1897" s="4" t="inlineStr">
        <is>
          <t>SEC-ADM</t>
        </is>
      </c>
      <c r="E1897" s="6" t="n">
        <v>3337.33</v>
      </c>
      <c r="F1897" s="6">
        <f>E1897*0.22</f>
        <v/>
      </c>
      <c r="G1897" s="6">
        <f>E1897+F1897</f>
        <v/>
      </c>
      <c r="H1897" s="10" t="n">
        <v>9</v>
      </c>
      <c r="I1897" s="7">
        <f>H1897/(180*0.714)</f>
        <v/>
      </c>
    </row>
    <row r="1898">
      <c r="A1898" s="4" t="inlineStr">
        <is>
          <t>SERV-11894</t>
        </is>
      </c>
      <c r="B1898" s="5" t="inlineStr">
        <is>
          <t>Assistente Administrativo / Operacional</t>
        </is>
      </c>
      <c r="C1898" s="4" t="inlineStr">
        <is>
          <t>Efetivo Concursado</t>
        </is>
      </c>
      <c r="D1898" s="4" t="inlineStr">
        <is>
          <t>SEC-ADM</t>
        </is>
      </c>
      <c r="E1898" s="6" t="n">
        <v>2966.49</v>
      </c>
      <c r="F1898" s="6">
        <f>E1898*0.22</f>
        <v/>
      </c>
      <c r="G1898" s="6">
        <f>E1898+F1898</f>
        <v/>
      </c>
      <c r="H1898" s="10" t="n">
        <v>4</v>
      </c>
      <c r="I1898" s="7">
        <f>H1898/(180*0.714)</f>
        <v/>
      </c>
    </row>
    <row r="1899">
      <c r="A1899" s="4" t="inlineStr">
        <is>
          <t>SERV-11895</t>
        </is>
      </c>
      <c r="B1899" s="5" t="inlineStr">
        <is>
          <t>Assistente Administrativo / Operacional</t>
        </is>
      </c>
      <c r="C1899" s="4" t="inlineStr">
        <is>
          <t>Efetivo Concursado</t>
        </is>
      </c>
      <c r="D1899" s="4" t="inlineStr">
        <is>
          <t>SEC-ADM</t>
        </is>
      </c>
      <c r="E1899" s="6" t="n">
        <v>3030.84</v>
      </c>
      <c r="F1899" s="6">
        <f>E1899*0.22</f>
        <v/>
      </c>
      <c r="G1899" s="6">
        <f>E1899+F1899</f>
        <v/>
      </c>
      <c r="H1899" s="10" t="n">
        <v>8</v>
      </c>
      <c r="I1899" s="7">
        <f>H1899/(180*0.714)</f>
        <v/>
      </c>
    </row>
    <row r="1900">
      <c r="A1900" s="4" t="inlineStr">
        <is>
          <t>SERV-11896</t>
        </is>
      </c>
      <c r="B1900" s="5" t="inlineStr">
        <is>
          <t>Assistente Administrativo / Operacional</t>
        </is>
      </c>
      <c r="C1900" s="4" t="inlineStr">
        <is>
          <t>Efetivo Concursado</t>
        </is>
      </c>
      <c r="D1900" s="4" t="inlineStr">
        <is>
          <t>SEC-ADM</t>
        </is>
      </c>
      <c r="E1900" s="6" t="n">
        <v>3265.69</v>
      </c>
      <c r="F1900" s="6">
        <f>E1900*0.22</f>
        <v/>
      </c>
      <c r="G1900" s="6">
        <f>E1900+F1900</f>
        <v/>
      </c>
      <c r="H1900" s="10" t="n">
        <v>3</v>
      </c>
      <c r="I1900" s="7">
        <f>H1900/(180*0.714)</f>
        <v/>
      </c>
    </row>
    <row r="1901">
      <c r="A1901" s="4" t="inlineStr">
        <is>
          <t>SERV-11897</t>
        </is>
      </c>
      <c r="B1901" s="5" t="inlineStr">
        <is>
          <t>Assistente Administrativo / Operacional</t>
        </is>
      </c>
      <c r="C1901" s="4" t="inlineStr">
        <is>
          <t>Efetivo Concursado</t>
        </is>
      </c>
      <c r="D1901" s="4" t="inlineStr">
        <is>
          <t>SEC-ADM</t>
        </is>
      </c>
      <c r="E1901" s="6" t="n">
        <v>3134.24</v>
      </c>
      <c r="F1901" s="6">
        <f>E1901*0.22</f>
        <v/>
      </c>
      <c r="G1901" s="6">
        <f>E1901+F1901</f>
        <v/>
      </c>
      <c r="H1901" s="10" t="n">
        <v>6</v>
      </c>
      <c r="I1901" s="7">
        <f>H1901/(180*0.714)</f>
        <v/>
      </c>
    </row>
    <row r="1902">
      <c r="A1902" s="4" t="inlineStr">
        <is>
          <t>SERV-11898</t>
        </is>
      </c>
      <c r="B1902" s="5" t="inlineStr">
        <is>
          <t>Assistente Administrativo / Operacional</t>
        </is>
      </c>
      <c r="C1902" s="4" t="inlineStr">
        <is>
          <t>Efetivo Concursado</t>
        </is>
      </c>
      <c r="D1902" s="4" t="inlineStr">
        <is>
          <t>SEC-ADM</t>
        </is>
      </c>
      <c r="E1902" s="6" t="n">
        <v>3303.65</v>
      </c>
      <c r="F1902" s="6">
        <f>E1902*0.22</f>
        <v/>
      </c>
      <c r="G1902" s="6">
        <f>E1902+F1902</f>
        <v/>
      </c>
      <c r="H1902" s="10" t="n">
        <v>8</v>
      </c>
      <c r="I1902" s="7">
        <f>H1902/(180*0.714)</f>
        <v/>
      </c>
    </row>
    <row r="1903">
      <c r="A1903" s="4" t="inlineStr">
        <is>
          <t>SERV-11899</t>
        </is>
      </c>
      <c r="B1903" s="5" t="inlineStr">
        <is>
          <t>Assistente Administrativo / Operacional</t>
        </is>
      </c>
      <c r="C1903" s="4" t="inlineStr">
        <is>
          <t>Efetivo Concursado</t>
        </is>
      </c>
      <c r="D1903" s="4" t="inlineStr">
        <is>
          <t>SEC-ADM</t>
        </is>
      </c>
      <c r="E1903" s="6" t="n">
        <v>3230.71</v>
      </c>
      <c r="F1903" s="6">
        <f>E1903*0.22</f>
        <v/>
      </c>
      <c r="G1903" s="6">
        <f>E1903+F1903</f>
        <v/>
      </c>
      <c r="H1903" s="10" t="n">
        <v>10</v>
      </c>
      <c r="I1903" s="7">
        <f>H1903/(180*0.714)</f>
        <v/>
      </c>
    </row>
    <row r="1904">
      <c r="A1904" s="4" t="inlineStr">
        <is>
          <t>SERV-11900</t>
        </is>
      </c>
      <c r="B1904" s="5" t="inlineStr">
        <is>
          <t>Assistente Administrativo / Operacional</t>
        </is>
      </c>
      <c r="C1904" s="4" t="inlineStr">
        <is>
          <t>Efetivo Concursado</t>
        </is>
      </c>
      <c r="D1904" s="4" t="inlineStr">
        <is>
          <t>SEC-ADM</t>
        </is>
      </c>
      <c r="E1904" s="6" t="n">
        <v>3002.74</v>
      </c>
      <c r="F1904" s="6">
        <f>E1904*0.22</f>
        <v/>
      </c>
      <c r="G1904" s="6">
        <f>E1904+F1904</f>
        <v/>
      </c>
      <c r="H1904" s="10" t="n">
        <v>8</v>
      </c>
      <c r="I1904" s="7">
        <f>H1904/(180*0.714)</f>
        <v/>
      </c>
    </row>
    <row r="1905">
      <c r="A1905" s="4" t="inlineStr">
        <is>
          <t>SERV-11901</t>
        </is>
      </c>
      <c r="B1905" s="5" t="inlineStr">
        <is>
          <t>Assistente Administrativo / Operacional</t>
        </is>
      </c>
      <c r="C1905" s="4" t="inlineStr">
        <is>
          <t>Efetivo Concursado</t>
        </is>
      </c>
      <c r="D1905" s="4" t="inlineStr">
        <is>
          <t>SEC-ADM</t>
        </is>
      </c>
      <c r="E1905" s="6" t="n">
        <v>3221.17</v>
      </c>
      <c r="F1905" s="6">
        <f>E1905*0.22</f>
        <v/>
      </c>
      <c r="G1905" s="6">
        <f>E1905+F1905</f>
        <v/>
      </c>
      <c r="H1905" s="10" t="n">
        <v>10</v>
      </c>
      <c r="I1905" s="7">
        <f>H1905/(180*0.714)</f>
        <v/>
      </c>
    </row>
    <row r="1906">
      <c r="A1906" s="4" t="inlineStr">
        <is>
          <t>SERV-11902</t>
        </is>
      </c>
      <c r="B1906" s="5" t="inlineStr">
        <is>
          <t>Assistente Administrativo / Operacional</t>
        </is>
      </c>
      <c r="C1906" s="4" t="inlineStr">
        <is>
          <t>Efetivo Concursado</t>
        </is>
      </c>
      <c r="D1906" s="4" t="inlineStr">
        <is>
          <t>SEC-ADM</t>
        </is>
      </c>
      <c r="E1906" s="6" t="n">
        <v>3180.71</v>
      </c>
      <c r="F1906" s="6">
        <f>E1906*0.22</f>
        <v/>
      </c>
      <c r="G1906" s="6">
        <f>E1906+F1906</f>
        <v/>
      </c>
      <c r="H1906" s="10" t="n">
        <v>9</v>
      </c>
      <c r="I1906" s="7">
        <f>H1906/(180*0.714)</f>
        <v/>
      </c>
    </row>
    <row r="1907">
      <c r="A1907" s="4" t="inlineStr">
        <is>
          <t>SERV-11903</t>
        </is>
      </c>
      <c r="B1907" s="5" t="inlineStr">
        <is>
          <t>Assistente Administrativo / Operacional</t>
        </is>
      </c>
      <c r="C1907" s="4" t="inlineStr">
        <is>
          <t>Efetivo Concursado</t>
        </is>
      </c>
      <c r="D1907" s="4" t="inlineStr">
        <is>
          <t>SEC-ADM</t>
        </is>
      </c>
      <c r="E1907" s="6" t="n">
        <v>3264.83</v>
      </c>
      <c r="F1907" s="6">
        <f>E1907*0.22</f>
        <v/>
      </c>
      <c r="G1907" s="6">
        <f>E1907+F1907</f>
        <v/>
      </c>
      <c r="H1907" s="10" t="n">
        <v>3</v>
      </c>
      <c r="I1907" s="7">
        <f>H1907/(180*0.714)</f>
        <v/>
      </c>
    </row>
    <row r="1908">
      <c r="A1908" s="4" t="inlineStr">
        <is>
          <t>SERV-11904</t>
        </is>
      </c>
      <c r="B1908" s="5" t="inlineStr">
        <is>
          <t>Assistente Administrativo / Operacional</t>
        </is>
      </c>
      <c r="C1908" s="4" t="inlineStr">
        <is>
          <t>Efetivo Concursado</t>
        </is>
      </c>
      <c r="D1908" s="4" t="inlineStr">
        <is>
          <t>SEC-ADM</t>
        </is>
      </c>
      <c r="E1908" s="6" t="n">
        <v>3379.97</v>
      </c>
      <c r="F1908" s="6">
        <f>E1908*0.22</f>
        <v/>
      </c>
      <c r="G1908" s="6">
        <f>E1908+F1908</f>
        <v/>
      </c>
      <c r="H1908" s="10" t="n">
        <v>14</v>
      </c>
      <c r="I1908" s="7">
        <f>H1908/(180*0.714)</f>
        <v/>
      </c>
    </row>
    <row r="1909">
      <c r="A1909" s="4" t="inlineStr">
        <is>
          <t>SERV-11905</t>
        </is>
      </c>
      <c r="B1909" s="5" t="inlineStr">
        <is>
          <t>Assistente Administrativo / Operacional</t>
        </is>
      </c>
      <c r="C1909" s="4" t="inlineStr">
        <is>
          <t>Efetivo Concursado</t>
        </is>
      </c>
      <c r="D1909" s="4" t="inlineStr">
        <is>
          <t>SEC-ADM</t>
        </is>
      </c>
      <c r="E1909" s="6" t="n">
        <v>3387.72</v>
      </c>
      <c r="F1909" s="6">
        <f>E1909*0.22</f>
        <v/>
      </c>
      <c r="G1909" s="6">
        <f>E1909+F1909</f>
        <v/>
      </c>
      <c r="H1909" s="10" t="n">
        <v>13</v>
      </c>
      <c r="I1909" s="7">
        <f>H1909/(180*0.714)</f>
        <v/>
      </c>
    </row>
    <row r="1910">
      <c r="A1910" s="4" t="inlineStr">
        <is>
          <t>SERV-11906</t>
        </is>
      </c>
      <c r="B1910" s="5" t="inlineStr">
        <is>
          <t>Assistente Administrativo / Operacional</t>
        </is>
      </c>
      <c r="C1910" s="4" t="inlineStr">
        <is>
          <t>Efetivo Concursado</t>
        </is>
      </c>
      <c r="D1910" s="4" t="inlineStr">
        <is>
          <t>SEC-ADM</t>
        </is>
      </c>
      <c r="E1910" s="6" t="n">
        <v>3105.57</v>
      </c>
      <c r="F1910" s="6">
        <f>E1910*0.22</f>
        <v/>
      </c>
      <c r="G1910" s="6">
        <f>E1910+F1910</f>
        <v/>
      </c>
      <c r="H1910" s="10" t="n">
        <v>3</v>
      </c>
      <c r="I1910" s="7">
        <f>H1910/(180*0.714)</f>
        <v/>
      </c>
    </row>
    <row r="1911">
      <c r="A1911" s="4" t="inlineStr">
        <is>
          <t>SERV-11907</t>
        </is>
      </c>
      <c r="B1911" s="5" t="inlineStr">
        <is>
          <t>Assistente Administrativo / Operacional</t>
        </is>
      </c>
      <c r="C1911" s="4" t="inlineStr">
        <is>
          <t>Efetivo Concursado</t>
        </is>
      </c>
      <c r="D1911" s="4" t="inlineStr">
        <is>
          <t>SEC-ADM</t>
        </is>
      </c>
      <c r="E1911" s="6" t="n">
        <v>3097.31</v>
      </c>
      <c r="F1911" s="6">
        <f>E1911*0.22</f>
        <v/>
      </c>
      <c r="G1911" s="6">
        <f>E1911+F1911</f>
        <v/>
      </c>
      <c r="H1911" s="10" t="n">
        <v>8</v>
      </c>
      <c r="I1911" s="7">
        <f>H1911/(180*0.714)</f>
        <v/>
      </c>
    </row>
    <row r="1912">
      <c r="A1912" s="4" t="inlineStr">
        <is>
          <t>SERV-11908</t>
        </is>
      </c>
      <c r="B1912" s="5" t="inlineStr">
        <is>
          <t>Assistente Administrativo / Operacional</t>
        </is>
      </c>
      <c r="C1912" s="4" t="inlineStr">
        <is>
          <t>Efetivo Concursado</t>
        </is>
      </c>
      <c r="D1912" s="4" t="inlineStr">
        <is>
          <t>SEC-ADM</t>
        </is>
      </c>
      <c r="E1912" s="6" t="n">
        <v>3033.88</v>
      </c>
      <c r="F1912" s="6">
        <f>E1912*0.22</f>
        <v/>
      </c>
      <c r="G1912" s="6">
        <f>E1912+F1912</f>
        <v/>
      </c>
      <c r="H1912" s="10" t="n">
        <v>12</v>
      </c>
      <c r="I1912" s="7">
        <f>H1912/(180*0.714)</f>
        <v/>
      </c>
    </row>
    <row r="1913">
      <c r="A1913" s="4" t="inlineStr">
        <is>
          <t>SERV-11909</t>
        </is>
      </c>
      <c r="B1913" s="5" t="inlineStr">
        <is>
          <t>Assistente Administrativo / Operacional</t>
        </is>
      </c>
      <c r="C1913" s="4" t="inlineStr">
        <is>
          <t>Efetivo Concursado</t>
        </is>
      </c>
      <c r="D1913" s="4" t="inlineStr">
        <is>
          <t>SEC-ADM</t>
        </is>
      </c>
      <c r="E1913" s="6" t="n">
        <v>3119.6</v>
      </c>
      <c r="F1913" s="6">
        <f>E1913*0.22</f>
        <v/>
      </c>
      <c r="G1913" s="6">
        <f>E1913+F1913</f>
        <v/>
      </c>
      <c r="H1913" s="10" t="n">
        <v>12</v>
      </c>
      <c r="I1913" s="7">
        <f>H1913/(180*0.714)</f>
        <v/>
      </c>
    </row>
    <row r="1914">
      <c r="A1914" s="4" t="inlineStr">
        <is>
          <t>SERV-11910</t>
        </is>
      </c>
      <c r="B1914" s="5" t="inlineStr">
        <is>
          <t>Assistente Administrativo / Operacional</t>
        </is>
      </c>
      <c r="C1914" s="4" t="inlineStr">
        <is>
          <t>Efetivo Concursado</t>
        </is>
      </c>
      <c r="D1914" s="4" t="inlineStr">
        <is>
          <t>SEC-ADM</t>
        </is>
      </c>
      <c r="E1914" s="6" t="n">
        <v>3264.41</v>
      </c>
      <c r="F1914" s="6">
        <f>E1914*0.22</f>
        <v/>
      </c>
      <c r="G1914" s="6">
        <f>E1914+F1914</f>
        <v/>
      </c>
      <c r="H1914" s="10" t="n">
        <v>10</v>
      </c>
      <c r="I1914" s="7">
        <f>H1914/(180*0.714)</f>
        <v/>
      </c>
    </row>
    <row r="1915">
      <c r="A1915" s="4" t="inlineStr">
        <is>
          <t>SERV-11911</t>
        </is>
      </c>
      <c r="B1915" s="5" t="inlineStr">
        <is>
          <t>Assistente Administrativo / Operacional</t>
        </is>
      </c>
      <c r="C1915" s="4" t="inlineStr">
        <is>
          <t>Efetivo Concursado</t>
        </is>
      </c>
      <c r="D1915" s="4" t="inlineStr">
        <is>
          <t>SEC-ADM</t>
        </is>
      </c>
      <c r="E1915" s="6" t="n">
        <v>3400.12</v>
      </c>
      <c r="F1915" s="6">
        <f>E1915*0.22</f>
        <v/>
      </c>
      <c r="G1915" s="6">
        <f>E1915+F1915</f>
        <v/>
      </c>
      <c r="H1915" s="10" t="n">
        <v>4</v>
      </c>
      <c r="I1915" s="7">
        <f>H1915/(180*0.714)</f>
        <v/>
      </c>
    </row>
    <row r="1916">
      <c r="A1916" s="4" t="inlineStr">
        <is>
          <t>SERV-11912</t>
        </is>
      </c>
      <c r="B1916" s="5" t="inlineStr">
        <is>
          <t>Assistente Administrativo / Operacional</t>
        </is>
      </c>
      <c r="C1916" s="4" t="inlineStr">
        <is>
          <t>Efetivo Concursado</t>
        </is>
      </c>
      <c r="D1916" s="4" t="inlineStr">
        <is>
          <t>SEC-ADM</t>
        </is>
      </c>
      <c r="E1916" s="6" t="n">
        <v>3250.93</v>
      </c>
      <c r="F1916" s="6">
        <f>E1916*0.22</f>
        <v/>
      </c>
      <c r="G1916" s="6">
        <f>E1916+F1916</f>
        <v/>
      </c>
      <c r="H1916" s="10" t="n">
        <v>10</v>
      </c>
      <c r="I1916" s="7">
        <f>H1916/(180*0.714)</f>
        <v/>
      </c>
    </row>
    <row r="1917">
      <c r="A1917" s="4" t="inlineStr">
        <is>
          <t>SERV-11913</t>
        </is>
      </c>
      <c r="B1917" s="5" t="inlineStr">
        <is>
          <t>Assistente Administrativo / Operacional</t>
        </is>
      </c>
      <c r="C1917" s="4" t="inlineStr">
        <is>
          <t>Efetivo Concursado</t>
        </is>
      </c>
      <c r="D1917" s="4" t="inlineStr">
        <is>
          <t>SEC-ADM</t>
        </is>
      </c>
      <c r="E1917" s="6" t="n">
        <v>2865.65</v>
      </c>
      <c r="F1917" s="6">
        <f>E1917*0.22</f>
        <v/>
      </c>
      <c r="G1917" s="6">
        <f>E1917+F1917</f>
        <v/>
      </c>
      <c r="H1917" s="10" t="n">
        <v>13</v>
      </c>
      <c r="I1917" s="7">
        <f>H1917/(180*0.714)</f>
        <v/>
      </c>
    </row>
    <row r="1918">
      <c r="A1918" s="4" t="inlineStr">
        <is>
          <t>SERV-11914</t>
        </is>
      </c>
      <c r="B1918" s="5" t="inlineStr">
        <is>
          <t>Assistente Administrativo / Operacional</t>
        </is>
      </c>
      <c r="C1918" s="4" t="inlineStr">
        <is>
          <t>Efetivo Concursado</t>
        </is>
      </c>
      <c r="D1918" s="4" t="inlineStr">
        <is>
          <t>SEC-ADM</t>
        </is>
      </c>
      <c r="E1918" s="6" t="n">
        <v>3388.2</v>
      </c>
      <c r="F1918" s="6">
        <f>E1918*0.22</f>
        <v/>
      </c>
      <c r="G1918" s="6">
        <f>E1918+F1918</f>
        <v/>
      </c>
      <c r="H1918" s="10" t="n">
        <v>9</v>
      </c>
      <c r="I1918" s="7">
        <f>H1918/(180*0.714)</f>
        <v/>
      </c>
    </row>
    <row r="1919">
      <c r="A1919" s="4" t="inlineStr">
        <is>
          <t>SERV-11915</t>
        </is>
      </c>
      <c r="B1919" s="5" t="inlineStr">
        <is>
          <t>Assistente Administrativo / Operacional</t>
        </is>
      </c>
      <c r="C1919" s="4" t="inlineStr">
        <is>
          <t>Efetivo Concursado</t>
        </is>
      </c>
      <c r="D1919" s="4" t="inlineStr">
        <is>
          <t>SEC-ADM</t>
        </is>
      </c>
      <c r="E1919" s="6" t="n">
        <v>3221.38</v>
      </c>
      <c r="F1919" s="6">
        <f>E1919*0.22</f>
        <v/>
      </c>
      <c r="G1919" s="6">
        <f>E1919+F1919</f>
        <v/>
      </c>
      <c r="H1919" s="10" t="n">
        <v>6</v>
      </c>
      <c r="I1919" s="7">
        <f>H1919/(180*0.714)</f>
        <v/>
      </c>
    </row>
    <row r="1920">
      <c r="A1920" s="4" t="inlineStr">
        <is>
          <t>SERV-11916</t>
        </is>
      </c>
      <c r="B1920" s="5" t="inlineStr">
        <is>
          <t>Assistente Administrativo / Operacional</t>
        </is>
      </c>
      <c r="C1920" s="4" t="inlineStr">
        <is>
          <t>Efetivo Concursado</t>
        </is>
      </c>
      <c r="D1920" s="4" t="inlineStr">
        <is>
          <t>SEC-ADM</t>
        </is>
      </c>
      <c r="E1920" s="6" t="n">
        <v>3214.43</v>
      </c>
      <c r="F1920" s="6">
        <f>E1920*0.22</f>
        <v/>
      </c>
      <c r="G1920" s="6">
        <f>E1920+F1920</f>
        <v/>
      </c>
      <c r="H1920" s="10" t="n">
        <v>7</v>
      </c>
      <c r="I1920" s="7">
        <f>H1920/(180*0.714)</f>
        <v/>
      </c>
    </row>
    <row r="1921">
      <c r="A1921" s="4" t="inlineStr">
        <is>
          <t>SERV-11917</t>
        </is>
      </c>
      <c r="B1921" s="5" t="inlineStr">
        <is>
          <t>Assistente Administrativo / Operacional</t>
        </is>
      </c>
      <c r="C1921" s="4" t="inlineStr">
        <is>
          <t>Efetivo Concursado</t>
        </is>
      </c>
      <c r="D1921" s="4" t="inlineStr">
        <is>
          <t>SEC-ADM</t>
        </is>
      </c>
      <c r="E1921" s="6" t="n">
        <v>2903.79</v>
      </c>
      <c r="F1921" s="6">
        <f>E1921*0.22</f>
        <v/>
      </c>
      <c r="G1921" s="6">
        <f>E1921+F1921</f>
        <v/>
      </c>
      <c r="H1921" s="10" t="n">
        <v>13</v>
      </c>
      <c r="I1921" s="7">
        <f>H1921/(180*0.714)</f>
        <v/>
      </c>
    </row>
    <row r="1922">
      <c r="A1922" s="4" t="inlineStr">
        <is>
          <t>SERV-11918</t>
        </is>
      </c>
      <c r="B1922" s="5" t="inlineStr">
        <is>
          <t>Assistente Administrativo / Operacional</t>
        </is>
      </c>
      <c r="C1922" s="4" t="inlineStr">
        <is>
          <t>Efetivo Concursado</t>
        </is>
      </c>
      <c r="D1922" s="4" t="inlineStr">
        <is>
          <t>SEC-ADM</t>
        </is>
      </c>
      <c r="E1922" s="6" t="n">
        <v>2901.01</v>
      </c>
      <c r="F1922" s="6">
        <f>E1922*0.22</f>
        <v/>
      </c>
      <c r="G1922" s="6">
        <f>E1922+F1922</f>
        <v/>
      </c>
      <c r="H1922" s="10" t="n">
        <v>11</v>
      </c>
      <c r="I1922" s="7">
        <f>H1922/(180*0.714)</f>
        <v/>
      </c>
    </row>
    <row r="1923">
      <c r="A1923" s="4" t="inlineStr">
        <is>
          <t>SERV-11919</t>
        </is>
      </c>
      <c r="B1923" s="5" t="inlineStr">
        <is>
          <t>Assistente Administrativo / Operacional</t>
        </is>
      </c>
      <c r="C1923" s="4" t="inlineStr">
        <is>
          <t>Efetivo Concursado</t>
        </is>
      </c>
      <c r="D1923" s="4" t="inlineStr">
        <is>
          <t>SEC-ADM</t>
        </is>
      </c>
      <c r="E1923" s="6" t="n">
        <v>3338.9</v>
      </c>
      <c r="F1923" s="6">
        <f>E1923*0.22</f>
        <v/>
      </c>
      <c r="G1923" s="6">
        <f>E1923+F1923</f>
        <v/>
      </c>
      <c r="H1923" s="10" t="n">
        <v>5</v>
      </c>
      <c r="I1923" s="7">
        <f>H1923/(180*0.714)</f>
        <v/>
      </c>
    </row>
    <row r="1924">
      <c r="A1924" s="4" t="inlineStr">
        <is>
          <t>SERV-11920</t>
        </is>
      </c>
      <c r="B1924" s="5" t="inlineStr">
        <is>
          <t>Assistente Administrativo / Operacional</t>
        </is>
      </c>
      <c r="C1924" s="4" t="inlineStr">
        <is>
          <t>Efetivo Concursado</t>
        </is>
      </c>
      <c r="D1924" s="4" t="inlineStr">
        <is>
          <t>SEC-ADM</t>
        </is>
      </c>
      <c r="E1924" s="6" t="n">
        <v>3386.85</v>
      </c>
      <c r="F1924" s="6">
        <f>E1924*0.22</f>
        <v/>
      </c>
      <c r="G1924" s="6">
        <f>E1924+F1924</f>
        <v/>
      </c>
      <c r="H1924" s="10" t="n">
        <v>6</v>
      </c>
      <c r="I1924" s="7">
        <f>H1924/(180*0.714)</f>
        <v/>
      </c>
    </row>
    <row r="1925">
      <c r="A1925" s="4" t="inlineStr">
        <is>
          <t>SERV-11921</t>
        </is>
      </c>
      <c r="B1925" s="5" t="inlineStr">
        <is>
          <t>Assistente Administrativo / Operacional</t>
        </is>
      </c>
      <c r="C1925" s="4" t="inlineStr">
        <is>
          <t>Efetivo Concursado</t>
        </is>
      </c>
      <c r="D1925" s="4" t="inlineStr">
        <is>
          <t>SEC-ADM</t>
        </is>
      </c>
      <c r="E1925" s="6" t="n">
        <v>3405.69</v>
      </c>
      <c r="F1925" s="6">
        <f>E1925*0.22</f>
        <v/>
      </c>
      <c r="G1925" s="6">
        <f>E1925+F1925</f>
        <v/>
      </c>
      <c r="H1925" s="10" t="n">
        <v>14</v>
      </c>
      <c r="I1925" s="7">
        <f>H1925/(180*0.714)</f>
        <v/>
      </c>
    </row>
    <row r="1926">
      <c r="A1926" s="4" t="inlineStr">
        <is>
          <t>SERV-11922</t>
        </is>
      </c>
      <c r="B1926" s="5" t="inlineStr">
        <is>
          <t>Assistente Administrativo / Operacional</t>
        </is>
      </c>
      <c r="C1926" s="4" t="inlineStr">
        <is>
          <t>Efetivo Concursado</t>
        </is>
      </c>
      <c r="D1926" s="4" t="inlineStr">
        <is>
          <t>SEC-ADM</t>
        </is>
      </c>
      <c r="E1926" s="6" t="n">
        <v>2901.05</v>
      </c>
      <c r="F1926" s="6">
        <f>E1926*0.22</f>
        <v/>
      </c>
      <c r="G1926" s="6">
        <f>E1926+F1926</f>
        <v/>
      </c>
      <c r="H1926" s="10" t="n">
        <v>9</v>
      </c>
      <c r="I1926" s="7">
        <f>H1926/(180*0.714)</f>
        <v/>
      </c>
    </row>
    <row r="1927">
      <c r="A1927" s="4" t="inlineStr">
        <is>
          <t>SERV-11923</t>
        </is>
      </c>
      <c r="B1927" s="5" t="inlineStr">
        <is>
          <t>Assistente Administrativo / Operacional</t>
        </is>
      </c>
      <c r="C1927" s="4" t="inlineStr">
        <is>
          <t>Efetivo Concursado</t>
        </is>
      </c>
      <c r="D1927" s="4" t="inlineStr">
        <is>
          <t>SEC-ADM</t>
        </is>
      </c>
      <c r="E1927" s="6" t="n">
        <v>2975.46</v>
      </c>
      <c r="F1927" s="6">
        <f>E1927*0.22</f>
        <v/>
      </c>
      <c r="G1927" s="6">
        <f>E1927+F1927</f>
        <v/>
      </c>
      <c r="H1927" s="10" t="n">
        <v>8</v>
      </c>
      <c r="I1927" s="7">
        <f>H1927/(180*0.714)</f>
        <v/>
      </c>
    </row>
    <row r="1928">
      <c r="A1928" s="4" t="inlineStr">
        <is>
          <t>SERV-11924</t>
        </is>
      </c>
      <c r="B1928" s="5" t="inlineStr">
        <is>
          <t>Assistente Administrativo / Operacional</t>
        </is>
      </c>
      <c r="C1928" s="4" t="inlineStr">
        <is>
          <t>Efetivo Concursado</t>
        </is>
      </c>
      <c r="D1928" s="4" t="inlineStr">
        <is>
          <t>SEC-ADM</t>
        </is>
      </c>
      <c r="E1928" s="6" t="n">
        <v>3039.83</v>
      </c>
      <c r="F1928" s="6">
        <f>E1928*0.22</f>
        <v/>
      </c>
      <c r="G1928" s="6">
        <f>E1928+F1928</f>
        <v/>
      </c>
      <c r="H1928" s="10" t="n">
        <v>4</v>
      </c>
      <c r="I1928" s="7">
        <f>H1928/(180*0.714)</f>
        <v/>
      </c>
    </row>
    <row r="1929">
      <c r="A1929" s="4" t="inlineStr">
        <is>
          <t>SERV-11925</t>
        </is>
      </c>
      <c r="B1929" s="5" t="inlineStr">
        <is>
          <t>Assistente Administrativo / Operacional</t>
        </is>
      </c>
      <c r="C1929" s="4" t="inlineStr">
        <is>
          <t>Efetivo Concursado</t>
        </is>
      </c>
      <c r="D1929" s="4" t="inlineStr">
        <is>
          <t>SEC-ADM</t>
        </is>
      </c>
      <c r="E1929" s="6" t="n">
        <v>3065.88</v>
      </c>
      <c r="F1929" s="6">
        <f>E1929*0.22</f>
        <v/>
      </c>
      <c r="G1929" s="6">
        <f>E1929+F1929</f>
        <v/>
      </c>
      <c r="H1929" s="10" t="n">
        <v>8</v>
      </c>
      <c r="I1929" s="7">
        <f>H1929/(180*0.714)</f>
        <v/>
      </c>
    </row>
    <row r="1930">
      <c r="A1930" s="4" t="inlineStr">
        <is>
          <t>SERV-11926</t>
        </is>
      </c>
      <c r="B1930" s="5" t="inlineStr">
        <is>
          <t>Assistente Administrativo / Operacional</t>
        </is>
      </c>
      <c r="C1930" s="4" t="inlineStr">
        <is>
          <t>Efetivo Concursado</t>
        </is>
      </c>
      <c r="D1930" s="4" t="inlineStr">
        <is>
          <t>SEC-ADM</t>
        </is>
      </c>
      <c r="E1930" s="6" t="n">
        <v>3357.41</v>
      </c>
      <c r="F1930" s="6">
        <f>E1930*0.22</f>
        <v/>
      </c>
      <c r="G1930" s="6">
        <f>E1930+F1930</f>
        <v/>
      </c>
      <c r="H1930" s="10" t="n">
        <v>7</v>
      </c>
      <c r="I1930" s="7">
        <f>H1930/(180*0.714)</f>
        <v/>
      </c>
    </row>
    <row r="1931">
      <c r="A1931" s="4" t="inlineStr">
        <is>
          <t>SERV-11927</t>
        </is>
      </c>
      <c r="B1931" s="5" t="inlineStr">
        <is>
          <t>Assistente Administrativo / Operacional</t>
        </is>
      </c>
      <c r="C1931" s="4" t="inlineStr">
        <is>
          <t>Efetivo Concursado</t>
        </is>
      </c>
      <c r="D1931" s="4" t="inlineStr">
        <is>
          <t>SEC-ADM</t>
        </is>
      </c>
      <c r="E1931" s="6" t="n">
        <v>3199.07</v>
      </c>
      <c r="F1931" s="6">
        <f>E1931*0.22</f>
        <v/>
      </c>
      <c r="G1931" s="6">
        <f>E1931+F1931</f>
        <v/>
      </c>
      <c r="H1931" s="10" t="n">
        <v>5</v>
      </c>
      <c r="I1931" s="7">
        <f>H1931/(180*0.714)</f>
        <v/>
      </c>
    </row>
    <row r="1932">
      <c r="A1932" s="4" t="inlineStr">
        <is>
          <t>SERV-11928</t>
        </is>
      </c>
      <c r="B1932" s="5" t="inlineStr">
        <is>
          <t>Assistente Administrativo / Operacional</t>
        </is>
      </c>
      <c r="C1932" s="4" t="inlineStr">
        <is>
          <t>Efetivo Concursado</t>
        </is>
      </c>
      <c r="D1932" s="4" t="inlineStr">
        <is>
          <t>SEC-ADM</t>
        </is>
      </c>
      <c r="E1932" s="6" t="n">
        <v>3017.84</v>
      </c>
      <c r="F1932" s="6">
        <f>E1932*0.22</f>
        <v/>
      </c>
      <c r="G1932" s="6">
        <f>E1932+F1932</f>
        <v/>
      </c>
      <c r="H1932" s="10" t="n">
        <v>4</v>
      </c>
      <c r="I1932" s="7">
        <f>H1932/(180*0.714)</f>
        <v/>
      </c>
    </row>
    <row r="1933">
      <c r="A1933" s="4" t="inlineStr">
        <is>
          <t>SERV-11929</t>
        </is>
      </c>
      <c r="B1933" s="5" t="inlineStr">
        <is>
          <t>Assistente Administrativo / Operacional</t>
        </is>
      </c>
      <c r="C1933" s="4" t="inlineStr">
        <is>
          <t>Efetivo Concursado</t>
        </is>
      </c>
      <c r="D1933" s="4" t="inlineStr">
        <is>
          <t>SEC-ADM</t>
        </is>
      </c>
      <c r="E1933" s="6" t="n">
        <v>2989.79</v>
      </c>
      <c r="F1933" s="6">
        <f>E1933*0.22</f>
        <v/>
      </c>
      <c r="G1933" s="6">
        <f>E1933+F1933</f>
        <v/>
      </c>
      <c r="H1933" s="10" t="n">
        <v>3</v>
      </c>
      <c r="I1933" s="7">
        <f>H1933/(180*0.714)</f>
        <v/>
      </c>
    </row>
    <row r="1934">
      <c r="A1934" s="4" t="inlineStr">
        <is>
          <t>SERV-11930</t>
        </is>
      </c>
      <c r="B1934" s="5" t="inlineStr">
        <is>
          <t>Assistente Administrativo / Operacional</t>
        </is>
      </c>
      <c r="C1934" s="4" t="inlineStr">
        <is>
          <t>Efetivo Concursado</t>
        </is>
      </c>
      <c r="D1934" s="4" t="inlineStr">
        <is>
          <t>SEC-ADM</t>
        </is>
      </c>
      <c r="E1934" s="6" t="n">
        <v>3449.14</v>
      </c>
      <c r="F1934" s="6">
        <f>E1934*0.22</f>
        <v/>
      </c>
      <c r="G1934" s="6">
        <f>E1934+F1934</f>
        <v/>
      </c>
      <c r="H1934" s="10" t="n">
        <v>13</v>
      </c>
      <c r="I1934" s="7">
        <f>H1934/(180*0.714)</f>
        <v/>
      </c>
    </row>
    <row r="1935">
      <c r="A1935" s="4" t="inlineStr">
        <is>
          <t>SERV-11931</t>
        </is>
      </c>
      <c r="B1935" s="5" t="inlineStr">
        <is>
          <t>Assistente Administrativo / Operacional</t>
        </is>
      </c>
      <c r="C1935" s="4" t="inlineStr">
        <is>
          <t>Efetivo Concursado</t>
        </is>
      </c>
      <c r="D1935" s="4" t="inlineStr">
        <is>
          <t>SEC-ADM</t>
        </is>
      </c>
      <c r="E1935" s="6" t="n">
        <v>3057.46</v>
      </c>
      <c r="F1935" s="6">
        <f>E1935*0.22</f>
        <v/>
      </c>
      <c r="G1935" s="6">
        <f>E1935+F1935</f>
        <v/>
      </c>
      <c r="H1935" s="10" t="n">
        <v>14</v>
      </c>
      <c r="I1935" s="7">
        <f>H1935/(180*0.714)</f>
        <v/>
      </c>
    </row>
    <row r="1936">
      <c r="A1936" s="4" t="inlineStr">
        <is>
          <t>SERV-11932</t>
        </is>
      </c>
      <c r="B1936" s="5" t="inlineStr">
        <is>
          <t>Assistente Administrativo / Operacional</t>
        </is>
      </c>
      <c r="C1936" s="4" t="inlineStr">
        <is>
          <t>Efetivo Concursado</t>
        </is>
      </c>
      <c r="D1936" s="4" t="inlineStr">
        <is>
          <t>SEC-ADM</t>
        </is>
      </c>
      <c r="E1936" s="6" t="n">
        <v>3389.59</v>
      </c>
      <c r="F1936" s="6">
        <f>E1936*0.22</f>
        <v/>
      </c>
      <c r="G1936" s="6">
        <f>E1936+F1936</f>
        <v/>
      </c>
      <c r="H1936" s="10" t="n">
        <v>5</v>
      </c>
      <c r="I1936" s="7">
        <f>H1936/(180*0.714)</f>
        <v/>
      </c>
    </row>
    <row r="1937">
      <c r="A1937" s="4" t="inlineStr">
        <is>
          <t>SERV-11933</t>
        </is>
      </c>
      <c r="B1937" s="5" t="inlineStr">
        <is>
          <t>Assistente Administrativo / Operacional</t>
        </is>
      </c>
      <c r="C1937" s="4" t="inlineStr">
        <is>
          <t>Efetivo Concursado</t>
        </is>
      </c>
      <c r="D1937" s="4" t="inlineStr">
        <is>
          <t>SEC-ADM</t>
        </is>
      </c>
      <c r="E1937" s="6" t="n">
        <v>3193.17</v>
      </c>
      <c r="F1937" s="6">
        <f>E1937*0.22</f>
        <v/>
      </c>
      <c r="G1937" s="6">
        <f>E1937+F1937</f>
        <v/>
      </c>
      <c r="H1937" s="10" t="n">
        <v>6</v>
      </c>
      <c r="I1937" s="7">
        <f>H1937/(180*0.714)</f>
        <v/>
      </c>
    </row>
    <row r="1938">
      <c r="A1938" s="4" t="inlineStr">
        <is>
          <t>SERV-11934</t>
        </is>
      </c>
      <c r="B1938" s="5" t="inlineStr">
        <is>
          <t>Assistente Administrativo / Operacional</t>
        </is>
      </c>
      <c r="C1938" s="4" t="inlineStr">
        <is>
          <t>Efetivo Concursado</t>
        </is>
      </c>
      <c r="D1938" s="4" t="inlineStr">
        <is>
          <t>SEC-ADM</t>
        </is>
      </c>
      <c r="E1938" s="6" t="n">
        <v>3433.55</v>
      </c>
      <c r="F1938" s="6">
        <f>E1938*0.22</f>
        <v/>
      </c>
      <c r="G1938" s="6">
        <f>E1938+F1938</f>
        <v/>
      </c>
      <c r="H1938" s="10" t="n">
        <v>10</v>
      </c>
      <c r="I1938" s="7">
        <f>H1938/(180*0.714)</f>
        <v/>
      </c>
    </row>
    <row r="1939">
      <c r="A1939" s="4" t="inlineStr">
        <is>
          <t>SERV-11935</t>
        </is>
      </c>
      <c r="B1939" s="5" t="inlineStr">
        <is>
          <t>Assistente Administrativo / Operacional</t>
        </is>
      </c>
      <c r="C1939" s="4" t="inlineStr">
        <is>
          <t>Efetivo Concursado</t>
        </is>
      </c>
      <c r="D1939" s="4" t="inlineStr">
        <is>
          <t>SEC-ADM</t>
        </is>
      </c>
      <c r="E1939" s="6" t="n">
        <v>3258.06</v>
      </c>
      <c r="F1939" s="6">
        <f>E1939*0.22</f>
        <v/>
      </c>
      <c r="G1939" s="6">
        <f>E1939+F1939</f>
        <v/>
      </c>
      <c r="H1939" s="10" t="n">
        <v>10</v>
      </c>
      <c r="I1939" s="7">
        <f>H1939/(180*0.714)</f>
        <v/>
      </c>
    </row>
    <row r="1940">
      <c r="A1940" s="4" t="inlineStr">
        <is>
          <t>SERV-11936</t>
        </is>
      </c>
      <c r="B1940" s="5" t="inlineStr">
        <is>
          <t>Assistente Administrativo / Operacional</t>
        </is>
      </c>
      <c r="C1940" s="4" t="inlineStr">
        <is>
          <t>Efetivo Concursado</t>
        </is>
      </c>
      <c r="D1940" s="4" t="inlineStr">
        <is>
          <t>SEC-ADM</t>
        </is>
      </c>
      <c r="E1940" s="6" t="n">
        <v>2987.61</v>
      </c>
      <c r="F1940" s="6">
        <f>E1940*0.22</f>
        <v/>
      </c>
      <c r="G1940" s="6">
        <f>E1940+F1940</f>
        <v/>
      </c>
      <c r="H1940" s="10" t="n">
        <v>11</v>
      </c>
      <c r="I1940" s="7">
        <f>H1940/(180*0.714)</f>
        <v/>
      </c>
    </row>
    <row r="1941">
      <c r="A1941" s="4" t="inlineStr">
        <is>
          <t>SERV-11937</t>
        </is>
      </c>
      <c r="B1941" s="5" t="inlineStr">
        <is>
          <t>Assistente Administrativo / Operacional</t>
        </is>
      </c>
      <c r="C1941" s="4" t="inlineStr">
        <is>
          <t>Efetivo Concursado</t>
        </is>
      </c>
      <c r="D1941" s="4" t="inlineStr">
        <is>
          <t>SEC-ADM</t>
        </is>
      </c>
      <c r="E1941" s="6" t="n">
        <v>3435.18</v>
      </c>
      <c r="F1941" s="6">
        <f>E1941*0.22</f>
        <v/>
      </c>
      <c r="G1941" s="6">
        <f>E1941+F1941</f>
        <v/>
      </c>
      <c r="H1941" s="10" t="n">
        <v>5</v>
      </c>
      <c r="I1941" s="7">
        <f>H1941/(180*0.714)</f>
        <v/>
      </c>
    </row>
    <row r="1942">
      <c r="A1942" s="4" t="inlineStr">
        <is>
          <t>SERV-11938</t>
        </is>
      </c>
      <c r="B1942" s="5" t="inlineStr">
        <is>
          <t>Assistente Administrativo / Operacional</t>
        </is>
      </c>
      <c r="C1942" s="4" t="inlineStr">
        <is>
          <t>Efetivo Concursado</t>
        </is>
      </c>
      <c r="D1942" s="4" t="inlineStr">
        <is>
          <t>SEC-ADM</t>
        </is>
      </c>
      <c r="E1942" s="6" t="n">
        <v>3284.3</v>
      </c>
      <c r="F1942" s="6">
        <f>E1942*0.22</f>
        <v/>
      </c>
      <c r="G1942" s="6">
        <f>E1942+F1942</f>
        <v/>
      </c>
      <c r="H1942" s="10" t="n">
        <v>8</v>
      </c>
      <c r="I1942" s="7">
        <f>H1942/(180*0.714)</f>
        <v/>
      </c>
    </row>
    <row r="1943">
      <c r="A1943" s="4" t="inlineStr">
        <is>
          <t>SERV-11939</t>
        </is>
      </c>
      <c r="B1943" s="5" t="inlineStr">
        <is>
          <t>Assistente Administrativo / Operacional</t>
        </is>
      </c>
      <c r="C1943" s="4" t="inlineStr">
        <is>
          <t>Efetivo Concursado</t>
        </is>
      </c>
      <c r="D1943" s="4" t="inlineStr">
        <is>
          <t>SEC-ADM</t>
        </is>
      </c>
      <c r="E1943" s="6" t="n">
        <v>3148.61</v>
      </c>
      <c r="F1943" s="6">
        <f>E1943*0.22</f>
        <v/>
      </c>
      <c r="G1943" s="6">
        <f>E1943+F1943</f>
        <v/>
      </c>
      <c r="H1943" s="10" t="n">
        <v>10</v>
      </c>
      <c r="I1943" s="7">
        <f>H1943/(180*0.714)</f>
        <v/>
      </c>
    </row>
    <row r="1944">
      <c r="A1944" s="4" t="inlineStr">
        <is>
          <t>SERV-11940</t>
        </is>
      </c>
      <c r="B1944" s="5" t="inlineStr">
        <is>
          <t>Assistente Administrativo / Operacional</t>
        </is>
      </c>
      <c r="C1944" s="4" t="inlineStr">
        <is>
          <t>Efetivo Concursado</t>
        </is>
      </c>
      <c r="D1944" s="4" t="inlineStr">
        <is>
          <t>SEC-ADM</t>
        </is>
      </c>
      <c r="E1944" s="6" t="n">
        <v>3075.83</v>
      </c>
      <c r="F1944" s="6">
        <f>E1944*0.22</f>
        <v/>
      </c>
      <c r="G1944" s="6">
        <f>E1944+F1944</f>
        <v/>
      </c>
      <c r="H1944" s="10" t="n">
        <v>14</v>
      </c>
      <c r="I1944" s="7">
        <f>H1944/(180*0.714)</f>
        <v/>
      </c>
    </row>
    <row r="1945">
      <c r="A1945" s="4" t="inlineStr">
        <is>
          <t>SERV-11941</t>
        </is>
      </c>
      <c r="B1945" s="5" t="inlineStr">
        <is>
          <t>Assistente Administrativo / Operacional</t>
        </is>
      </c>
      <c r="C1945" s="4" t="inlineStr">
        <is>
          <t>Efetivo Concursado</t>
        </is>
      </c>
      <c r="D1945" s="4" t="inlineStr">
        <is>
          <t>SEC-ADM</t>
        </is>
      </c>
      <c r="E1945" s="6" t="n">
        <v>2921.34</v>
      </c>
      <c r="F1945" s="6">
        <f>E1945*0.22</f>
        <v/>
      </c>
      <c r="G1945" s="6">
        <f>E1945+F1945</f>
        <v/>
      </c>
      <c r="H1945" s="10" t="n">
        <v>9</v>
      </c>
      <c r="I1945" s="7">
        <f>H1945/(180*0.714)</f>
        <v/>
      </c>
    </row>
    <row r="1946">
      <c r="A1946" s="4" t="inlineStr">
        <is>
          <t>SERV-11942</t>
        </is>
      </c>
      <c r="B1946" s="5" t="inlineStr">
        <is>
          <t>Assistente Administrativo / Operacional</t>
        </is>
      </c>
      <c r="C1946" s="4" t="inlineStr">
        <is>
          <t>Efetivo Concursado</t>
        </is>
      </c>
      <c r="D1946" s="4" t="inlineStr">
        <is>
          <t>SEC-ADM</t>
        </is>
      </c>
      <c r="E1946" s="6" t="n">
        <v>3376.62</v>
      </c>
      <c r="F1946" s="6">
        <f>E1946*0.22</f>
        <v/>
      </c>
      <c r="G1946" s="6">
        <f>E1946+F1946</f>
        <v/>
      </c>
      <c r="H1946" s="10" t="n">
        <v>11</v>
      </c>
      <c r="I1946" s="7">
        <f>H1946/(180*0.714)</f>
        <v/>
      </c>
    </row>
    <row r="1947">
      <c r="A1947" s="4" t="inlineStr">
        <is>
          <t>SERV-11943</t>
        </is>
      </c>
      <c r="B1947" s="5" t="inlineStr">
        <is>
          <t>Assistente Administrativo / Operacional</t>
        </is>
      </c>
      <c r="C1947" s="4" t="inlineStr">
        <is>
          <t>Efetivo Concursado</t>
        </is>
      </c>
      <c r="D1947" s="4" t="inlineStr">
        <is>
          <t>SEC-ADM</t>
        </is>
      </c>
      <c r="E1947" s="6" t="n">
        <v>3002.46</v>
      </c>
      <c r="F1947" s="6">
        <f>E1947*0.22</f>
        <v/>
      </c>
      <c r="G1947" s="6">
        <f>E1947+F1947</f>
        <v/>
      </c>
      <c r="H1947" s="10" t="n">
        <v>7</v>
      </c>
      <c r="I1947" s="7">
        <f>H1947/(180*0.714)</f>
        <v/>
      </c>
    </row>
    <row r="1948">
      <c r="A1948" s="4" t="inlineStr">
        <is>
          <t>SERV-11944</t>
        </is>
      </c>
      <c r="B1948" s="5" t="inlineStr">
        <is>
          <t>Assistente Administrativo / Operacional</t>
        </is>
      </c>
      <c r="C1948" s="4" t="inlineStr">
        <is>
          <t>Efetivo Concursado</t>
        </is>
      </c>
      <c r="D1948" s="4" t="inlineStr">
        <is>
          <t>SEC-ADM</t>
        </is>
      </c>
      <c r="E1948" s="6" t="n">
        <v>3149.14</v>
      </c>
      <c r="F1948" s="6">
        <f>E1948*0.22</f>
        <v/>
      </c>
      <c r="G1948" s="6">
        <f>E1948+F1948</f>
        <v/>
      </c>
      <c r="H1948" s="10" t="n">
        <v>6</v>
      </c>
      <c r="I1948" s="7">
        <f>H1948/(180*0.714)</f>
        <v/>
      </c>
    </row>
    <row r="1949">
      <c r="A1949" s="4" t="inlineStr">
        <is>
          <t>SERV-11945</t>
        </is>
      </c>
      <c r="B1949" s="5" t="inlineStr">
        <is>
          <t>Assistente Administrativo / Operacional</t>
        </is>
      </c>
      <c r="C1949" s="4" t="inlineStr">
        <is>
          <t>Efetivo Concursado</t>
        </is>
      </c>
      <c r="D1949" s="4" t="inlineStr">
        <is>
          <t>SEC-ADM</t>
        </is>
      </c>
      <c r="E1949" s="6" t="n">
        <v>3181.27</v>
      </c>
      <c r="F1949" s="6">
        <f>E1949*0.22</f>
        <v/>
      </c>
      <c r="G1949" s="6">
        <f>E1949+F1949</f>
        <v/>
      </c>
      <c r="H1949" s="10" t="n">
        <v>13</v>
      </c>
      <c r="I1949" s="7">
        <f>H1949/(180*0.714)</f>
        <v/>
      </c>
    </row>
    <row r="1950">
      <c r="A1950" s="4" t="inlineStr">
        <is>
          <t>SERV-11946</t>
        </is>
      </c>
      <c r="B1950" s="5" t="inlineStr">
        <is>
          <t>Assistente Administrativo / Operacional</t>
        </is>
      </c>
      <c r="C1950" s="4" t="inlineStr">
        <is>
          <t>Efetivo Concursado</t>
        </is>
      </c>
      <c r="D1950" s="4" t="inlineStr">
        <is>
          <t>SEC-ADM</t>
        </is>
      </c>
      <c r="E1950" s="6" t="n">
        <v>2915.39</v>
      </c>
      <c r="F1950" s="6">
        <f>E1950*0.22</f>
        <v/>
      </c>
      <c r="G1950" s="6">
        <f>E1950+F1950</f>
        <v/>
      </c>
      <c r="H1950" s="10" t="n">
        <v>14</v>
      </c>
      <c r="I1950" s="7">
        <f>H1950/(180*0.714)</f>
        <v/>
      </c>
    </row>
    <row r="1951">
      <c r="A1951" s="4" t="inlineStr">
        <is>
          <t>SERV-11947</t>
        </is>
      </c>
      <c r="B1951" s="5" t="inlineStr">
        <is>
          <t>Assistente Administrativo / Operacional</t>
        </is>
      </c>
      <c r="C1951" s="4" t="inlineStr">
        <is>
          <t>Efetivo Concursado</t>
        </is>
      </c>
      <c r="D1951" s="4" t="inlineStr">
        <is>
          <t>SEC-ADM</t>
        </is>
      </c>
      <c r="E1951" s="6" t="n">
        <v>3105.76</v>
      </c>
      <c r="F1951" s="6">
        <f>E1951*0.22</f>
        <v/>
      </c>
      <c r="G1951" s="6">
        <f>E1951+F1951</f>
        <v/>
      </c>
      <c r="H1951" s="10" t="n">
        <v>10</v>
      </c>
      <c r="I1951" s="7">
        <f>H1951/(180*0.714)</f>
        <v/>
      </c>
    </row>
    <row r="1952">
      <c r="A1952" s="4" t="inlineStr">
        <is>
          <t>SERV-11948</t>
        </is>
      </c>
      <c r="B1952" s="5" t="inlineStr">
        <is>
          <t>Assistente Administrativo / Operacional</t>
        </is>
      </c>
      <c r="C1952" s="4" t="inlineStr">
        <is>
          <t>Efetivo Concursado</t>
        </is>
      </c>
      <c r="D1952" s="4" t="inlineStr">
        <is>
          <t>SEC-ADM</t>
        </is>
      </c>
      <c r="E1952" s="6" t="n">
        <v>3438.7</v>
      </c>
      <c r="F1952" s="6">
        <f>E1952*0.22</f>
        <v/>
      </c>
      <c r="G1952" s="6">
        <f>E1952+F1952</f>
        <v/>
      </c>
      <c r="H1952" s="10" t="n">
        <v>13</v>
      </c>
      <c r="I1952" s="7">
        <f>H1952/(180*0.714)</f>
        <v/>
      </c>
    </row>
    <row r="1953">
      <c r="A1953" s="4" t="inlineStr">
        <is>
          <t>SERV-11949</t>
        </is>
      </c>
      <c r="B1953" s="5" t="inlineStr">
        <is>
          <t>Assistente Administrativo / Operacional</t>
        </is>
      </c>
      <c r="C1953" s="4" t="inlineStr">
        <is>
          <t>Efetivo Concursado</t>
        </is>
      </c>
      <c r="D1953" s="4" t="inlineStr">
        <is>
          <t>SEC-ADM</t>
        </is>
      </c>
      <c r="E1953" s="6" t="n">
        <v>3119.24</v>
      </c>
      <c r="F1953" s="6">
        <f>E1953*0.22</f>
        <v/>
      </c>
      <c r="G1953" s="6">
        <f>E1953+F1953</f>
        <v/>
      </c>
      <c r="H1953" s="10" t="n">
        <v>6</v>
      </c>
      <c r="I1953" s="7">
        <f>H1953/(180*0.714)</f>
        <v/>
      </c>
    </row>
    <row r="1954">
      <c r="A1954" s="4" t="inlineStr">
        <is>
          <t>SERV-11950</t>
        </is>
      </c>
      <c r="B1954" s="5" t="inlineStr">
        <is>
          <t>Assistente Administrativo / Operacional</t>
        </is>
      </c>
      <c r="C1954" s="4" t="inlineStr">
        <is>
          <t>Efetivo Concursado</t>
        </is>
      </c>
      <c r="D1954" s="4" t="inlineStr">
        <is>
          <t>SEC-ADM</t>
        </is>
      </c>
      <c r="E1954" s="6" t="n">
        <v>3440.51</v>
      </c>
      <c r="F1954" s="6">
        <f>E1954*0.22</f>
        <v/>
      </c>
      <c r="G1954" s="6">
        <f>E1954+F1954</f>
        <v/>
      </c>
      <c r="H1954" s="10" t="n">
        <v>12</v>
      </c>
      <c r="I1954" s="7">
        <f>H1954/(180*0.714)</f>
        <v/>
      </c>
    </row>
    <row r="1955">
      <c r="A1955" s="4" t="inlineStr">
        <is>
          <t>SERV-11951</t>
        </is>
      </c>
      <c r="B1955" s="5" t="inlineStr">
        <is>
          <t>Assistente Administrativo / Operacional</t>
        </is>
      </c>
      <c r="C1955" s="4" t="inlineStr">
        <is>
          <t>Efetivo Concursado</t>
        </is>
      </c>
      <c r="D1955" s="4" t="inlineStr">
        <is>
          <t>SEC-ADM</t>
        </is>
      </c>
      <c r="E1955" s="6" t="n">
        <v>3047.42</v>
      </c>
      <c r="F1955" s="6">
        <f>E1955*0.22</f>
        <v/>
      </c>
      <c r="G1955" s="6">
        <f>E1955+F1955</f>
        <v/>
      </c>
      <c r="H1955" s="10" t="n">
        <v>4</v>
      </c>
      <c r="I1955" s="7">
        <f>H1955/(180*0.714)</f>
        <v/>
      </c>
    </row>
    <row r="1956">
      <c r="A1956" s="4" t="inlineStr">
        <is>
          <t>SERV-11952</t>
        </is>
      </c>
      <c r="B1956" s="5" t="inlineStr">
        <is>
          <t>Assistente Administrativo / Operacional</t>
        </is>
      </c>
      <c r="C1956" s="4" t="inlineStr">
        <is>
          <t>Efetivo Concursado</t>
        </is>
      </c>
      <c r="D1956" s="4" t="inlineStr">
        <is>
          <t>SEC-ADM</t>
        </is>
      </c>
      <c r="E1956" s="6" t="n">
        <v>3117.91</v>
      </c>
      <c r="F1956" s="6">
        <f>E1956*0.22</f>
        <v/>
      </c>
      <c r="G1956" s="6">
        <f>E1956+F1956</f>
        <v/>
      </c>
      <c r="H1956" s="10" t="n">
        <v>5</v>
      </c>
      <c r="I1956" s="7">
        <f>H1956/(180*0.714)</f>
        <v/>
      </c>
    </row>
    <row r="1957">
      <c r="A1957" s="4" t="inlineStr">
        <is>
          <t>SERV-11953</t>
        </is>
      </c>
      <c r="B1957" s="5" t="inlineStr">
        <is>
          <t>Assistente Administrativo / Operacional</t>
        </is>
      </c>
      <c r="C1957" s="4" t="inlineStr">
        <is>
          <t>Efetivo Concursado</t>
        </is>
      </c>
      <c r="D1957" s="4" t="inlineStr">
        <is>
          <t>SEC-ADM</t>
        </is>
      </c>
      <c r="E1957" s="6" t="n">
        <v>2967.44</v>
      </c>
      <c r="F1957" s="6">
        <f>E1957*0.22</f>
        <v/>
      </c>
      <c r="G1957" s="6">
        <f>E1957+F1957</f>
        <v/>
      </c>
      <c r="H1957" s="10" t="n">
        <v>3</v>
      </c>
      <c r="I1957" s="7">
        <f>H1957/(180*0.714)</f>
        <v/>
      </c>
    </row>
    <row r="1958">
      <c r="A1958" s="4" t="inlineStr">
        <is>
          <t>SERV-11954</t>
        </is>
      </c>
      <c r="B1958" s="5" t="inlineStr">
        <is>
          <t>Assistente Administrativo / Operacional</t>
        </is>
      </c>
      <c r="C1958" s="4" t="inlineStr">
        <is>
          <t>Efetivo Concursado</t>
        </is>
      </c>
      <c r="D1958" s="4" t="inlineStr">
        <is>
          <t>SEC-ADM</t>
        </is>
      </c>
      <c r="E1958" s="6" t="n">
        <v>3372.75</v>
      </c>
      <c r="F1958" s="6">
        <f>E1958*0.22</f>
        <v/>
      </c>
      <c r="G1958" s="6">
        <f>E1958+F1958</f>
        <v/>
      </c>
      <c r="H1958" s="10" t="n">
        <v>3</v>
      </c>
      <c r="I1958" s="7">
        <f>H1958/(180*0.714)</f>
        <v/>
      </c>
    </row>
    <row r="1959">
      <c r="A1959" s="4" t="inlineStr">
        <is>
          <t>SERV-11955</t>
        </is>
      </c>
      <c r="B1959" s="5" t="inlineStr">
        <is>
          <t>Assistente Administrativo / Operacional</t>
        </is>
      </c>
      <c r="C1959" s="4" t="inlineStr">
        <is>
          <t>Efetivo Concursado</t>
        </is>
      </c>
      <c r="D1959" s="4" t="inlineStr">
        <is>
          <t>SEC-ADM</t>
        </is>
      </c>
      <c r="E1959" s="6" t="n">
        <v>3232.63</v>
      </c>
      <c r="F1959" s="6">
        <f>E1959*0.22</f>
        <v/>
      </c>
      <c r="G1959" s="6">
        <f>E1959+F1959</f>
        <v/>
      </c>
      <c r="H1959" s="10" t="n">
        <v>11</v>
      </c>
      <c r="I1959" s="7">
        <f>H1959/(180*0.714)</f>
        <v/>
      </c>
    </row>
    <row r="1960">
      <c r="A1960" s="4" t="inlineStr">
        <is>
          <t>SERV-11956</t>
        </is>
      </c>
      <c r="B1960" s="5" t="inlineStr">
        <is>
          <t>Assistente Administrativo / Operacional</t>
        </is>
      </c>
      <c r="C1960" s="4" t="inlineStr">
        <is>
          <t>Efetivo Concursado</t>
        </is>
      </c>
      <c r="D1960" s="4" t="inlineStr">
        <is>
          <t>SEC-ADM</t>
        </is>
      </c>
      <c r="E1960" s="6" t="n">
        <v>3370.29</v>
      </c>
      <c r="F1960" s="6">
        <f>E1960*0.22</f>
        <v/>
      </c>
      <c r="G1960" s="6">
        <f>E1960+F1960</f>
        <v/>
      </c>
      <c r="H1960" s="10" t="n">
        <v>12</v>
      </c>
      <c r="I1960" s="7">
        <f>H1960/(180*0.714)</f>
        <v/>
      </c>
    </row>
    <row r="1961">
      <c r="A1961" s="4" t="inlineStr">
        <is>
          <t>SERV-11957</t>
        </is>
      </c>
      <c r="B1961" s="5" t="inlineStr">
        <is>
          <t>Assistente Administrativo / Operacional</t>
        </is>
      </c>
      <c r="C1961" s="4" t="inlineStr">
        <is>
          <t>Efetivo Concursado</t>
        </is>
      </c>
      <c r="D1961" s="4" t="inlineStr">
        <is>
          <t>SEC-ADM</t>
        </is>
      </c>
      <c r="E1961" s="6" t="n">
        <v>2992.19</v>
      </c>
      <c r="F1961" s="6">
        <f>E1961*0.22</f>
        <v/>
      </c>
      <c r="G1961" s="6">
        <f>E1961+F1961</f>
        <v/>
      </c>
      <c r="H1961" s="10" t="n">
        <v>13</v>
      </c>
      <c r="I1961" s="7">
        <f>H1961/(180*0.714)</f>
        <v/>
      </c>
    </row>
    <row r="1962">
      <c r="A1962" s="4" t="inlineStr">
        <is>
          <t>SERV-11958</t>
        </is>
      </c>
      <c r="B1962" s="5" t="inlineStr">
        <is>
          <t>Assistente Administrativo / Operacional</t>
        </is>
      </c>
      <c r="C1962" s="4" t="inlineStr">
        <is>
          <t>Efetivo Concursado</t>
        </is>
      </c>
      <c r="D1962" s="4" t="inlineStr">
        <is>
          <t>SEC-ADM</t>
        </is>
      </c>
      <c r="E1962" s="6" t="n">
        <v>2869.54</v>
      </c>
      <c r="F1962" s="6">
        <f>E1962*0.22</f>
        <v/>
      </c>
      <c r="G1962" s="6">
        <f>E1962+F1962</f>
        <v/>
      </c>
      <c r="H1962" s="10" t="n">
        <v>12</v>
      </c>
      <c r="I1962" s="7">
        <f>H1962/(180*0.714)</f>
        <v/>
      </c>
    </row>
    <row r="1963">
      <c r="A1963" s="4" t="inlineStr">
        <is>
          <t>SERV-11959</t>
        </is>
      </c>
      <c r="B1963" s="5" t="inlineStr">
        <is>
          <t>Assistente Administrativo / Operacional</t>
        </is>
      </c>
      <c r="C1963" s="4" t="inlineStr">
        <is>
          <t>Efetivo Concursado</t>
        </is>
      </c>
      <c r="D1963" s="4" t="inlineStr">
        <is>
          <t>SEC-ADM</t>
        </is>
      </c>
      <c r="E1963" s="6" t="n">
        <v>3223.24</v>
      </c>
      <c r="F1963" s="6">
        <f>E1963*0.22</f>
        <v/>
      </c>
      <c r="G1963" s="6">
        <f>E1963+F1963</f>
        <v/>
      </c>
      <c r="H1963" s="10" t="n">
        <v>10</v>
      </c>
      <c r="I1963" s="7">
        <f>H1963/(180*0.714)</f>
        <v/>
      </c>
    </row>
    <row r="1964">
      <c r="A1964" s="4" t="inlineStr">
        <is>
          <t>SERV-11960</t>
        </is>
      </c>
      <c r="B1964" s="5" t="inlineStr">
        <is>
          <t>Assistente Administrativo / Operacional</t>
        </is>
      </c>
      <c r="C1964" s="4" t="inlineStr">
        <is>
          <t>Efetivo Concursado</t>
        </is>
      </c>
      <c r="D1964" s="4" t="inlineStr">
        <is>
          <t>SEC-ADM</t>
        </is>
      </c>
      <c r="E1964" s="6" t="n">
        <v>3200.27</v>
      </c>
      <c r="F1964" s="6">
        <f>E1964*0.22</f>
        <v/>
      </c>
      <c r="G1964" s="6">
        <f>E1964+F1964</f>
        <v/>
      </c>
      <c r="H1964" s="10" t="n">
        <v>8</v>
      </c>
      <c r="I1964" s="7">
        <f>H1964/(180*0.714)</f>
        <v/>
      </c>
    </row>
    <row r="1965">
      <c r="A1965" s="4" t="inlineStr">
        <is>
          <t>SERV-11961</t>
        </is>
      </c>
      <c r="B1965" s="5" t="inlineStr">
        <is>
          <t>Assistente Administrativo / Operacional</t>
        </is>
      </c>
      <c r="C1965" s="4" t="inlineStr">
        <is>
          <t>Efetivo Concursado</t>
        </is>
      </c>
      <c r="D1965" s="4" t="inlineStr">
        <is>
          <t>SEC-ADM</t>
        </is>
      </c>
      <c r="E1965" s="6" t="n">
        <v>2951.27</v>
      </c>
      <c r="F1965" s="6">
        <f>E1965*0.22</f>
        <v/>
      </c>
      <c r="G1965" s="6">
        <f>E1965+F1965</f>
        <v/>
      </c>
      <c r="H1965" s="10" t="n">
        <v>6</v>
      </c>
      <c r="I1965" s="7">
        <f>H1965/(180*0.714)</f>
        <v/>
      </c>
    </row>
    <row r="1966">
      <c r="A1966" s="4" t="inlineStr">
        <is>
          <t>SERV-11962</t>
        </is>
      </c>
      <c r="B1966" s="5" t="inlineStr">
        <is>
          <t>Assistente Administrativo / Operacional</t>
        </is>
      </c>
      <c r="C1966" s="4" t="inlineStr">
        <is>
          <t>Efetivo Concursado</t>
        </is>
      </c>
      <c r="D1966" s="4" t="inlineStr">
        <is>
          <t>SEC-ADM</t>
        </is>
      </c>
      <c r="E1966" s="6" t="n">
        <v>3450.58</v>
      </c>
      <c r="F1966" s="6">
        <f>E1966*0.22</f>
        <v/>
      </c>
      <c r="G1966" s="6">
        <f>E1966+F1966</f>
        <v/>
      </c>
      <c r="H1966" s="10" t="n">
        <v>8</v>
      </c>
      <c r="I1966" s="7">
        <f>H1966/(180*0.714)</f>
        <v/>
      </c>
    </row>
    <row r="1967">
      <c r="A1967" s="4" t="inlineStr">
        <is>
          <t>SERV-11963</t>
        </is>
      </c>
      <c r="B1967" s="5" t="inlineStr">
        <is>
          <t>Assistente Administrativo / Operacional</t>
        </is>
      </c>
      <c r="C1967" s="4" t="inlineStr">
        <is>
          <t>Efetivo Concursado</t>
        </is>
      </c>
      <c r="D1967" s="4" t="inlineStr">
        <is>
          <t>SEC-ADM</t>
        </is>
      </c>
      <c r="E1967" s="6" t="n">
        <v>3352.42</v>
      </c>
      <c r="F1967" s="6">
        <f>E1967*0.22</f>
        <v/>
      </c>
      <c r="G1967" s="6">
        <f>E1967+F1967</f>
        <v/>
      </c>
      <c r="H1967" s="10" t="n">
        <v>7</v>
      </c>
      <c r="I1967" s="7">
        <f>H1967/(180*0.714)</f>
        <v/>
      </c>
    </row>
    <row r="1968">
      <c r="A1968" s="4" t="inlineStr">
        <is>
          <t>SERV-11964</t>
        </is>
      </c>
      <c r="B1968" s="5" t="inlineStr">
        <is>
          <t>Assistente Administrativo / Operacional</t>
        </is>
      </c>
      <c r="C1968" s="4" t="inlineStr">
        <is>
          <t>Efetivo Concursado</t>
        </is>
      </c>
      <c r="D1968" s="4" t="inlineStr">
        <is>
          <t>SEC-ADM</t>
        </is>
      </c>
      <c r="E1968" s="6" t="n">
        <v>3384.87</v>
      </c>
      <c r="F1968" s="6">
        <f>E1968*0.22</f>
        <v/>
      </c>
      <c r="G1968" s="6">
        <f>E1968+F1968</f>
        <v/>
      </c>
      <c r="H1968" s="10" t="n">
        <v>9</v>
      </c>
      <c r="I1968" s="7">
        <f>H1968/(180*0.714)</f>
        <v/>
      </c>
    </row>
    <row r="1969">
      <c r="A1969" s="4" t="inlineStr">
        <is>
          <t>SERV-11965</t>
        </is>
      </c>
      <c r="B1969" s="5" t="inlineStr">
        <is>
          <t>Assistente Administrativo / Operacional</t>
        </is>
      </c>
      <c r="C1969" s="4" t="inlineStr">
        <is>
          <t>Efetivo Concursado</t>
        </is>
      </c>
      <c r="D1969" s="4" t="inlineStr">
        <is>
          <t>SEC-ADM</t>
        </is>
      </c>
      <c r="E1969" s="6" t="n">
        <v>2945.32</v>
      </c>
      <c r="F1969" s="6">
        <f>E1969*0.22</f>
        <v/>
      </c>
      <c r="G1969" s="6">
        <f>E1969+F1969</f>
        <v/>
      </c>
      <c r="H1969" s="10" t="n">
        <v>3</v>
      </c>
      <c r="I1969" s="7">
        <f>H1969/(180*0.714)</f>
        <v/>
      </c>
    </row>
    <row r="1970">
      <c r="A1970" s="4" t="inlineStr">
        <is>
          <t>SERV-11966</t>
        </is>
      </c>
      <c r="B1970" s="5" t="inlineStr">
        <is>
          <t>Assistente Administrativo / Operacional</t>
        </is>
      </c>
      <c r="C1970" s="4" t="inlineStr">
        <is>
          <t>Efetivo Concursado</t>
        </is>
      </c>
      <c r="D1970" s="4" t="inlineStr">
        <is>
          <t>SEC-ADM</t>
        </is>
      </c>
      <c r="E1970" s="6" t="n">
        <v>3315.19</v>
      </c>
      <c r="F1970" s="6">
        <f>E1970*0.22</f>
        <v/>
      </c>
      <c r="G1970" s="6">
        <f>E1970+F1970</f>
        <v/>
      </c>
      <c r="H1970" s="10" t="n">
        <v>9</v>
      </c>
      <c r="I1970" s="7">
        <f>H1970/(180*0.714)</f>
        <v/>
      </c>
    </row>
    <row r="1971">
      <c r="A1971" s="4" t="inlineStr">
        <is>
          <t>SERV-11967</t>
        </is>
      </c>
      <c r="B1971" s="5" t="inlineStr">
        <is>
          <t>Assistente Administrativo / Operacional</t>
        </is>
      </c>
      <c r="C1971" s="4" t="inlineStr">
        <is>
          <t>Efetivo Concursado</t>
        </is>
      </c>
      <c r="D1971" s="4" t="inlineStr">
        <is>
          <t>SEC-ADM</t>
        </is>
      </c>
      <c r="E1971" s="6" t="n">
        <v>2950.46</v>
      </c>
      <c r="F1971" s="6">
        <f>E1971*0.22</f>
        <v/>
      </c>
      <c r="G1971" s="6">
        <f>E1971+F1971</f>
        <v/>
      </c>
      <c r="H1971" s="10" t="n">
        <v>11</v>
      </c>
      <c r="I1971" s="7">
        <f>H1971/(180*0.714)</f>
        <v/>
      </c>
    </row>
    <row r="1972">
      <c r="A1972" s="4" t="inlineStr">
        <is>
          <t>SERV-11968</t>
        </is>
      </c>
      <c r="B1972" s="5" t="inlineStr">
        <is>
          <t>Assistente Administrativo / Operacional</t>
        </is>
      </c>
      <c r="C1972" s="4" t="inlineStr">
        <is>
          <t>Efetivo Concursado</t>
        </is>
      </c>
      <c r="D1972" s="4" t="inlineStr">
        <is>
          <t>SEC-ADM</t>
        </is>
      </c>
      <c r="E1972" s="6" t="n">
        <v>2876.46</v>
      </c>
      <c r="F1972" s="6">
        <f>E1972*0.22</f>
        <v/>
      </c>
      <c r="G1972" s="6">
        <f>E1972+F1972</f>
        <v/>
      </c>
      <c r="H1972" s="10" t="n">
        <v>10</v>
      </c>
      <c r="I1972" s="7">
        <f>H1972/(180*0.714)</f>
        <v/>
      </c>
    </row>
    <row r="1973">
      <c r="A1973" s="4" t="inlineStr">
        <is>
          <t>SERV-11969</t>
        </is>
      </c>
      <c r="B1973" s="5" t="inlineStr">
        <is>
          <t>Assistente Administrativo / Operacional</t>
        </is>
      </c>
      <c r="C1973" s="4" t="inlineStr">
        <is>
          <t>Efetivo Concursado</t>
        </is>
      </c>
      <c r="D1973" s="4" t="inlineStr">
        <is>
          <t>SEC-ADM</t>
        </is>
      </c>
      <c r="E1973" s="6" t="n">
        <v>2891.37</v>
      </c>
      <c r="F1973" s="6">
        <f>E1973*0.22</f>
        <v/>
      </c>
      <c r="G1973" s="6">
        <f>E1973+F1973</f>
        <v/>
      </c>
      <c r="H1973" s="10" t="n">
        <v>11</v>
      </c>
      <c r="I1973" s="7">
        <f>H1973/(180*0.714)</f>
        <v/>
      </c>
    </row>
    <row r="1974">
      <c r="A1974" s="4" t="inlineStr">
        <is>
          <t>SERV-11970</t>
        </is>
      </c>
      <c r="B1974" s="5" t="inlineStr">
        <is>
          <t>Assistente Administrativo / Operacional</t>
        </is>
      </c>
      <c r="C1974" s="4" t="inlineStr">
        <is>
          <t>Efetivo Concursado</t>
        </is>
      </c>
      <c r="D1974" s="4" t="inlineStr">
        <is>
          <t>SEC-ADM</t>
        </is>
      </c>
      <c r="E1974" s="6" t="n">
        <v>3029.46</v>
      </c>
      <c r="F1974" s="6">
        <f>E1974*0.22</f>
        <v/>
      </c>
      <c r="G1974" s="6">
        <f>E1974+F1974</f>
        <v/>
      </c>
      <c r="H1974" s="10" t="n">
        <v>13</v>
      </c>
      <c r="I1974" s="7">
        <f>H1974/(180*0.714)</f>
        <v/>
      </c>
    </row>
    <row r="1975">
      <c r="A1975" s="4" t="inlineStr">
        <is>
          <t>SERV-11971</t>
        </is>
      </c>
      <c r="B1975" s="5" t="inlineStr">
        <is>
          <t>Assistente Administrativo / Operacional</t>
        </is>
      </c>
      <c r="C1975" s="4" t="inlineStr">
        <is>
          <t>Efetivo Concursado</t>
        </is>
      </c>
      <c r="D1975" s="4" t="inlineStr">
        <is>
          <t>SEC-ADM</t>
        </is>
      </c>
      <c r="E1975" s="6" t="n">
        <v>3453.49</v>
      </c>
      <c r="F1975" s="6">
        <f>E1975*0.22</f>
        <v/>
      </c>
      <c r="G1975" s="6">
        <f>E1975+F1975</f>
        <v/>
      </c>
      <c r="H1975" s="10" t="n">
        <v>6</v>
      </c>
      <c r="I1975" s="7">
        <f>H1975/(180*0.714)</f>
        <v/>
      </c>
    </row>
    <row r="1976">
      <c r="A1976" s="4" t="inlineStr">
        <is>
          <t>SERV-11972</t>
        </is>
      </c>
      <c r="B1976" s="5" t="inlineStr">
        <is>
          <t>Assistente Administrativo / Operacional</t>
        </is>
      </c>
      <c r="C1976" s="4" t="inlineStr">
        <is>
          <t>Efetivo Concursado</t>
        </is>
      </c>
      <c r="D1976" s="4" t="inlineStr">
        <is>
          <t>SEC-ADM</t>
        </is>
      </c>
      <c r="E1976" s="6" t="n">
        <v>3364.03</v>
      </c>
      <c r="F1976" s="6">
        <f>E1976*0.22</f>
        <v/>
      </c>
      <c r="G1976" s="6">
        <f>E1976+F1976</f>
        <v/>
      </c>
      <c r="H1976" s="10" t="n">
        <v>10</v>
      </c>
      <c r="I1976" s="7">
        <f>H1976/(180*0.714)</f>
        <v/>
      </c>
    </row>
    <row r="1977">
      <c r="A1977" s="4" t="inlineStr">
        <is>
          <t>SERV-11973</t>
        </is>
      </c>
      <c r="B1977" s="5" t="inlineStr">
        <is>
          <t>Assistente Administrativo / Operacional</t>
        </is>
      </c>
      <c r="C1977" s="4" t="inlineStr">
        <is>
          <t>Efetivo Concursado</t>
        </is>
      </c>
      <c r="D1977" s="4" t="inlineStr">
        <is>
          <t>SEC-ADM</t>
        </is>
      </c>
      <c r="E1977" s="6" t="n">
        <v>3295.98</v>
      </c>
      <c r="F1977" s="6">
        <f>E1977*0.22</f>
        <v/>
      </c>
      <c r="G1977" s="6">
        <f>E1977+F1977</f>
        <v/>
      </c>
      <c r="H1977" s="10" t="n">
        <v>9</v>
      </c>
      <c r="I1977" s="7">
        <f>H1977/(180*0.714)</f>
        <v/>
      </c>
    </row>
    <row r="1978">
      <c r="A1978" s="4" t="inlineStr">
        <is>
          <t>SERV-11974</t>
        </is>
      </c>
      <c r="B1978" s="5" t="inlineStr">
        <is>
          <t>Assistente Administrativo / Operacional</t>
        </is>
      </c>
      <c r="C1978" s="4" t="inlineStr">
        <is>
          <t>Efetivo Concursado</t>
        </is>
      </c>
      <c r="D1978" s="4" t="inlineStr">
        <is>
          <t>SEC-ADM</t>
        </is>
      </c>
      <c r="E1978" s="6" t="n">
        <v>3413.71</v>
      </c>
      <c r="F1978" s="6">
        <f>E1978*0.22</f>
        <v/>
      </c>
      <c r="G1978" s="6">
        <f>E1978+F1978</f>
        <v/>
      </c>
      <c r="H1978" s="10" t="n">
        <v>14</v>
      </c>
      <c r="I1978" s="7">
        <f>H1978/(180*0.714)</f>
        <v/>
      </c>
    </row>
    <row r="1979">
      <c r="A1979" s="4" t="inlineStr">
        <is>
          <t>SERV-11975</t>
        </is>
      </c>
      <c r="B1979" s="5" t="inlineStr">
        <is>
          <t>Assistente Administrativo / Operacional</t>
        </is>
      </c>
      <c r="C1979" s="4" t="inlineStr">
        <is>
          <t>Efetivo Concursado</t>
        </is>
      </c>
      <c r="D1979" s="4" t="inlineStr">
        <is>
          <t>SEC-ADM</t>
        </is>
      </c>
      <c r="E1979" s="6" t="n">
        <v>2987.46</v>
      </c>
      <c r="F1979" s="6">
        <f>E1979*0.22</f>
        <v/>
      </c>
      <c r="G1979" s="6">
        <f>E1979+F1979</f>
        <v/>
      </c>
      <c r="H1979" s="10" t="n">
        <v>14</v>
      </c>
      <c r="I1979" s="7">
        <f>H1979/(180*0.714)</f>
        <v/>
      </c>
    </row>
    <row r="1980">
      <c r="A1980" s="4" t="inlineStr">
        <is>
          <t>SERV-11976</t>
        </is>
      </c>
      <c r="B1980" s="5" t="inlineStr">
        <is>
          <t>Assistente Administrativo / Operacional</t>
        </is>
      </c>
      <c r="C1980" s="4" t="inlineStr">
        <is>
          <t>Efetivo Concursado</t>
        </is>
      </c>
      <c r="D1980" s="4" t="inlineStr">
        <is>
          <t>SEC-ADM</t>
        </is>
      </c>
      <c r="E1980" s="6" t="n">
        <v>2901.06</v>
      </c>
      <c r="F1980" s="6">
        <f>E1980*0.22</f>
        <v/>
      </c>
      <c r="G1980" s="6">
        <f>E1980+F1980</f>
        <v/>
      </c>
      <c r="H1980" s="10" t="n">
        <v>14</v>
      </c>
      <c r="I1980" s="7">
        <f>H1980/(180*0.714)</f>
        <v/>
      </c>
    </row>
    <row r="1981">
      <c r="A1981" s="4" t="inlineStr">
        <is>
          <t>SERV-11977</t>
        </is>
      </c>
      <c r="B1981" s="5" t="inlineStr">
        <is>
          <t>Assistente Administrativo / Operacional</t>
        </is>
      </c>
      <c r="C1981" s="4" t="inlineStr">
        <is>
          <t>Efetivo Concursado</t>
        </is>
      </c>
      <c r="D1981" s="4" t="inlineStr">
        <is>
          <t>SEC-ADM</t>
        </is>
      </c>
      <c r="E1981" s="6" t="n">
        <v>2908.17</v>
      </c>
      <c r="F1981" s="6">
        <f>E1981*0.22</f>
        <v/>
      </c>
      <c r="G1981" s="6">
        <f>E1981+F1981</f>
        <v/>
      </c>
      <c r="H1981" s="10" t="n">
        <v>7</v>
      </c>
      <c r="I1981" s="7">
        <f>H1981/(180*0.714)</f>
        <v/>
      </c>
    </row>
    <row r="1982">
      <c r="A1982" s="4" t="inlineStr">
        <is>
          <t>SERV-11978</t>
        </is>
      </c>
      <c r="B1982" s="5" t="inlineStr">
        <is>
          <t>Assistente Administrativo / Operacional</t>
        </is>
      </c>
      <c r="C1982" s="4" t="inlineStr">
        <is>
          <t>Efetivo Concursado</t>
        </is>
      </c>
      <c r="D1982" s="4" t="inlineStr">
        <is>
          <t>SEC-ADM</t>
        </is>
      </c>
      <c r="E1982" s="6" t="n">
        <v>3108.17</v>
      </c>
      <c r="F1982" s="6">
        <f>E1982*0.22</f>
        <v/>
      </c>
      <c r="G1982" s="6">
        <f>E1982+F1982</f>
        <v/>
      </c>
      <c r="H1982" s="10" t="n">
        <v>9</v>
      </c>
      <c r="I1982" s="7">
        <f>H1982/(180*0.714)</f>
        <v/>
      </c>
    </row>
    <row r="1983">
      <c r="A1983" s="4" t="inlineStr">
        <is>
          <t>SERV-11979</t>
        </is>
      </c>
      <c r="B1983" s="5" t="inlineStr">
        <is>
          <t>Assistente Administrativo / Operacional</t>
        </is>
      </c>
      <c r="C1983" s="4" t="inlineStr">
        <is>
          <t>Efetivo Concursado</t>
        </is>
      </c>
      <c r="D1983" s="4" t="inlineStr">
        <is>
          <t>SEC-ADM</t>
        </is>
      </c>
      <c r="E1983" s="6" t="n">
        <v>3027.67</v>
      </c>
      <c r="F1983" s="6">
        <f>E1983*0.22</f>
        <v/>
      </c>
      <c r="G1983" s="6">
        <f>E1983+F1983</f>
        <v/>
      </c>
      <c r="H1983" s="10" t="n">
        <v>6</v>
      </c>
      <c r="I1983" s="7">
        <f>H1983/(180*0.714)</f>
        <v/>
      </c>
    </row>
    <row r="1984">
      <c r="A1984" s="4" t="inlineStr">
        <is>
          <t>SERV-11980</t>
        </is>
      </c>
      <c r="B1984" s="5" t="inlineStr">
        <is>
          <t>Assistente Administrativo / Operacional</t>
        </is>
      </c>
      <c r="C1984" s="4" t="inlineStr">
        <is>
          <t>Efetivo Concursado</t>
        </is>
      </c>
      <c r="D1984" s="4" t="inlineStr">
        <is>
          <t>SEC-ADM</t>
        </is>
      </c>
      <c r="E1984" s="6" t="n">
        <v>3278.8</v>
      </c>
      <c r="F1984" s="6">
        <f>E1984*0.22</f>
        <v/>
      </c>
      <c r="G1984" s="6">
        <f>E1984+F1984</f>
        <v/>
      </c>
      <c r="H1984" s="10" t="n">
        <v>13</v>
      </c>
      <c r="I1984" s="7">
        <f>H1984/(180*0.714)</f>
        <v/>
      </c>
    </row>
    <row r="1985">
      <c r="A1985" s="4" t="inlineStr">
        <is>
          <t>SERV-11981</t>
        </is>
      </c>
      <c r="B1985" s="5" t="inlineStr">
        <is>
          <t>Assistente Administrativo / Operacional</t>
        </is>
      </c>
      <c r="C1985" s="4" t="inlineStr">
        <is>
          <t>Efetivo Concursado</t>
        </is>
      </c>
      <c r="D1985" s="4" t="inlineStr">
        <is>
          <t>SEC-ADM</t>
        </is>
      </c>
      <c r="E1985" s="6" t="n">
        <v>3118.17</v>
      </c>
      <c r="F1985" s="6">
        <f>E1985*0.22</f>
        <v/>
      </c>
      <c r="G1985" s="6">
        <f>E1985+F1985</f>
        <v/>
      </c>
      <c r="H1985" s="10" t="n">
        <v>13</v>
      </c>
      <c r="I1985" s="7">
        <f>H1985/(180*0.714)</f>
        <v/>
      </c>
    </row>
    <row r="1986">
      <c r="A1986" s="4" t="inlineStr">
        <is>
          <t>SERV-11982</t>
        </is>
      </c>
      <c r="B1986" s="5" t="inlineStr">
        <is>
          <t>Assistente Administrativo / Operacional</t>
        </is>
      </c>
      <c r="C1986" s="4" t="inlineStr">
        <is>
          <t>Efetivo Concursado</t>
        </is>
      </c>
      <c r="D1986" s="4" t="inlineStr">
        <is>
          <t>SEC-ADM</t>
        </is>
      </c>
      <c r="E1986" s="6" t="n">
        <v>3024.07</v>
      </c>
      <c r="F1986" s="6">
        <f>E1986*0.22</f>
        <v/>
      </c>
      <c r="G1986" s="6">
        <f>E1986+F1986</f>
        <v/>
      </c>
      <c r="H1986" s="10" t="n">
        <v>12</v>
      </c>
      <c r="I1986" s="7">
        <f>H1986/(180*0.714)</f>
        <v/>
      </c>
    </row>
    <row r="1987">
      <c r="A1987" s="4" t="inlineStr">
        <is>
          <t>SERV-11983</t>
        </is>
      </c>
      <c r="B1987" s="5" t="inlineStr">
        <is>
          <t>Assistente Administrativo / Operacional</t>
        </is>
      </c>
      <c r="C1987" s="4" t="inlineStr">
        <is>
          <t>Efetivo Concursado</t>
        </is>
      </c>
      <c r="D1987" s="4" t="inlineStr">
        <is>
          <t>SEC-ADM</t>
        </is>
      </c>
      <c r="E1987" s="6" t="n">
        <v>3073.41</v>
      </c>
      <c r="F1987" s="6">
        <f>E1987*0.22</f>
        <v/>
      </c>
      <c r="G1987" s="6">
        <f>E1987+F1987</f>
        <v/>
      </c>
      <c r="H1987" s="10" t="n">
        <v>11</v>
      </c>
      <c r="I1987" s="7">
        <f>H1987/(180*0.714)</f>
        <v/>
      </c>
    </row>
    <row r="1988">
      <c r="A1988" s="4" t="inlineStr">
        <is>
          <t>SERV-11984</t>
        </is>
      </c>
      <c r="B1988" s="5" t="inlineStr">
        <is>
          <t>Assistente Administrativo / Operacional</t>
        </is>
      </c>
      <c r="C1988" s="4" t="inlineStr">
        <is>
          <t>Efetivo Concursado</t>
        </is>
      </c>
      <c r="D1988" s="4" t="inlineStr">
        <is>
          <t>SEC-ADM</t>
        </is>
      </c>
      <c r="E1988" s="6" t="n">
        <v>3149.11</v>
      </c>
      <c r="F1988" s="6">
        <f>E1988*0.22</f>
        <v/>
      </c>
      <c r="G1988" s="6">
        <f>E1988+F1988</f>
        <v/>
      </c>
      <c r="H1988" s="10" t="n">
        <v>13</v>
      </c>
      <c r="I1988" s="7">
        <f>H1988/(180*0.714)</f>
        <v/>
      </c>
    </row>
    <row r="1989">
      <c r="A1989" s="4" t="inlineStr">
        <is>
          <t>SERV-11985</t>
        </is>
      </c>
      <c r="B1989" s="5" t="inlineStr">
        <is>
          <t>Assistente Administrativo / Operacional</t>
        </is>
      </c>
      <c r="C1989" s="4" t="inlineStr">
        <is>
          <t>Efetivo Concursado</t>
        </is>
      </c>
      <c r="D1989" s="4" t="inlineStr">
        <is>
          <t>SEC-ADM</t>
        </is>
      </c>
      <c r="E1989" s="6" t="n">
        <v>3309.84</v>
      </c>
      <c r="F1989" s="6">
        <f>E1989*0.22</f>
        <v/>
      </c>
      <c r="G1989" s="6">
        <f>E1989+F1989</f>
        <v/>
      </c>
      <c r="H1989" s="10" t="n">
        <v>8</v>
      </c>
      <c r="I1989" s="7">
        <f>H1989/(180*0.714)</f>
        <v/>
      </c>
    </row>
    <row r="1990">
      <c r="A1990" s="4" t="inlineStr">
        <is>
          <t>SERV-11986</t>
        </is>
      </c>
      <c r="B1990" s="5" t="inlineStr">
        <is>
          <t>Assistente Administrativo / Operacional</t>
        </is>
      </c>
      <c r="C1990" s="4" t="inlineStr">
        <is>
          <t>Efetivo Concursado</t>
        </is>
      </c>
      <c r="D1990" s="4" t="inlineStr">
        <is>
          <t>SEC-ADM</t>
        </is>
      </c>
      <c r="E1990" s="6" t="n">
        <v>2908.47</v>
      </c>
      <c r="F1990" s="6">
        <f>E1990*0.22</f>
        <v/>
      </c>
      <c r="G1990" s="6">
        <f>E1990+F1990</f>
        <v/>
      </c>
      <c r="H1990" s="10" t="n">
        <v>12</v>
      </c>
      <c r="I1990" s="7">
        <f>H1990/(180*0.714)</f>
        <v/>
      </c>
    </row>
    <row r="1991">
      <c r="A1991" s="4" t="inlineStr">
        <is>
          <t>SERV-11987</t>
        </is>
      </c>
      <c r="B1991" s="5" t="inlineStr">
        <is>
          <t>Assistente Administrativo / Operacional</t>
        </is>
      </c>
      <c r="C1991" s="4" t="inlineStr">
        <is>
          <t>Efetivo Concursado</t>
        </is>
      </c>
      <c r="D1991" s="4" t="inlineStr">
        <is>
          <t>SEC-ADM</t>
        </is>
      </c>
      <c r="E1991" s="6" t="n">
        <v>3203.46</v>
      </c>
      <c r="F1991" s="6">
        <f>E1991*0.22</f>
        <v/>
      </c>
      <c r="G1991" s="6">
        <f>E1991+F1991</f>
        <v/>
      </c>
      <c r="H1991" s="10" t="n">
        <v>8</v>
      </c>
      <c r="I1991" s="7">
        <f>H1991/(180*0.714)</f>
        <v/>
      </c>
    </row>
    <row r="1992">
      <c r="A1992" s="4" t="inlineStr">
        <is>
          <t>SERV-11988</t>
        </is>
      </c>
      <c r="B1992" s="5" t="inlineStr">
        <is>
          <t>Assistente Administrativo / Operacional</t>
        </is>
      </c>
      <c r="C1992" s="4" t="inlineStr">
        <is>
          <t>Efetivo Concursado</t>
        </is>
      </c>
      <c r="D1992" s="4" t="inlineStr">
        <is>
          <t>SEC-ADM</t>
        </is>
      </c>
      <c r="E1992" s="6" t="n">
        <v>3234.92</v>
      </c>
      <c r="F1992" s="6">
        <f>E1992*0.22</f>
        <v/>
      </c>
      <c r="G1992" s="6">
        <f>E1992+F1992</f>
        <v/>
      </c>
      <c r="H1992" s="10" t="n">
        <v>8</v>
      </c>
      <c r="I1992" s="7">
        <f>H1992/(180*0.714)</f>
        <v/>
      </c>
    </row>
    <row r="1993">
      <c r="A1993" s="4" t="inlineStr">
        <is>
          <t>SERV-11989</t>
        </is>
      </c>
      <c r="B1993" s="5" t="inlineStr">
        <is>
          <t>Assistente Administrativo / Operacional</t>
        </is>
      </c>
      <c r="C1993" s="4" t="inlineStr">
        <is>
          <t>Efetivo Concursado</t>
        </is>
      </c>
      <c r="D1993" s="4" t="inlineStr">
        <is>
          <t>SEC-ADM</t>
        </is>
      </c>
      <c r="E1993" s="6" t="n">
        <v>3220.28</v>
      </c>
      <c r="F1993" s="6">
        <f>E1993*0.22</f>
        <v/>
      </c>
      <c r="G1993" s="6">
        <f>E1993+F1993</f>
        <v/>
      </c>
      <c r="H1993" s="10" t="n">
        <v>10</v>
      </c>
      <c r="I1993" s="7">
        <f>H1993/(180*0.714)</f>
        <v/>
      </c>
    </row>
    <row r="1994">
      <c r="A1994" s="4" t="inlineStr">
        <is>
          <t>SERV-11990</t>
        </is>
      </c>
      <c r="B1994" s="5" t="inlineStr">
        <is>
          <t>Assistente Administrativo / Operacional</t>
        </is>
      </c>
      <c r="C1994" s="4" t="inlineStr">
        <is>
          <t>Efetivo Concursado</t>
        </is>
      </c>
      <c r="D1994" s="4" t="inlineStr">
        <is>
          <t>SEC-ADM</t>
        </is>
      </c>
      <c r="E1994" s="6" t="n">
        <v>3313.66</v>
      </c>
      <c r="F1994" s="6">
        <f>E1994*0.22</f>
        <v/>
      </c>
      <c r="G1994" s="6">
        <f>E1994+F1994</f>
        <v/>
      </c>
      <c r="H1994" s="10" t="n">
        <v>12</v>
      </c>
      <c r="I1994" s="7">
        <f>H1994/(180*0.714)</f>
        <v/>
      </c>
    </row>
    <row r="1995">
      <c r="A1995" s="4" t="inlineStr">
        <is>
          <t>SERV-11991</t>
        </is>
      </c>
      <c r="B1995" s="5" t="inlineStr">
        <is>
          <t>Assistente Administrativo / Operacional</t>
        </is>
      </c>
      <c r="C1995" s="4" t="inlineStr">
        <is>
          <t>Efetivo Concursado</t>
        </is>
      </c>
      <c r="D1995" s="4" t="inlineStr">
        <is>
          <t>SEC-ADM</t>
        </is>
      </c>
      <c r="E1995" s="6" t="n">
        <v>3241.23</v>
      </c>
      <c r="F1995" s="6">
        <f>E1995*0.22</f>
        <v/>
      </c>
      <c r="G1995" s="6">
        <f>E1995+F1995</f>
        <v/>
      </c>
      <c r="H1995" s="10" t="n">
        <v>9</v>
      </c>
      <c r="I1995" s="7">
        <f>H1995/(180*0.714)</f>
        <v/>
      </c>
    </row>
    <row r="1996">
      <c r="A1996" s="4" t="inlineStr">
        <is>
          <t>SERV-11992</t>
        </is>
      </c>
      <c r="B1996" s="5" t="inlineStr">
        <is>
          <t>Assistente Administrativo / Operacional</t>
        </is>
      </c>
      <c r="C1996" s="4" t="inlineStr">
        <is>
          <t>Efetivo Concursado</t>
        </is>
      </c>
      <c r="D1996" s="4" t="inlineStr">
        <is>
          <t>SEC-ADM</t>
        </is>
      </c>
      <c r="E1996" s="6" t="n">
        <v>3402.21</v>
      </c>
      <c r="F1996" s="6">
        <f>E1996*0.22</f>
        <v/>
      </c>
      <c r="G1996" s="6">
        <f>E1996+F1996</f>
        <v/>
      </c>
      <c r="H1996" s="10" t="n">
        <v>13</v>
      </c>
      <c r="I1996" s="7">
        <f>H1996/(180*0.714)</f>
        <v/>
      </c>
    </row>
    <row r="1997">
      <c r="A1997" s="4" t="inlineStr">
        <is>
          <t>SERV-11993</t>
        </is>
      </c>
      <c r="B1997" s="5" t="inlineStr">
        <is>
          <t>Assistente Administrativo / Operacional</t>
        </is>
      </c>
      <c r="C1997" s="4" t="inlineStr">
        <is>
          <t>Efetivo Concursado</t>
        </is>
      </c>
      <c r="D1997" s="4" t="inlineStr">
        <is>
          <t>SEC-ADM</t>
        </is>
      </c>
      <c r="E1997" s="6" t="n">
        <v>3264.41</v>
      </c>
      <c r="F1997" s="6">
        <f>E1997*0.22</f>
        <v/>
      </c>
      <c r="G1997" s="6">
        <f>E1997+F1997</f>
        <v/>
      </c>
      <c r="H1997" s="10" t="n">
        <v>5</v>
      </c>
      <c r="I1997" s="7">
        <f>H1997/(180*0.714)</f>
        <v/>
      </c>
    </row>
    <row r="1998">
      <c r="A1998" s="4" t="inlineStr">
        <is>
          <t>SERV-11994</t>
        </is>
      </c>
      <c r="B1998" s="5" t="inlineStr">
        <is>
          <t>Assistente Administrativo / Operacional</t>
        </is>
      </c>
      <c r="C1998" s="4" t="inlineStr">
        <is>
          <t>Efetivo Concursado</t>
        </is>
      </c>
      <c r="D1998" s="4" t="inlineStr">
        <is>
          <t>SEC-ADM</t>
        </is>
      </c>
      <c r="E1998" s="6" t="n">
        <v>2924.21</v>
      </c>
      <c r="F1998" s="6">
        <f>E1998*0.22</f>
        <v/>
      </c>
      <c r="G1998" s="6">
        <f>E1998+F1998</f>
        <v/>
      </c>
      <c r="H1998" s="10" t="n">
        <v>4</v>
      </c>
      <c r="I1998" s="7">
        <f>H1998/(180*0.714)</f>
        <v/>
      </c>
    </row>
    <row r="1999">
      <c r="A1999" s="4" t="inlineStr">
        <is>
          <t>SERV-11995</t>
        </is>
      </c>
      <c r="B1999" s="5" t="inlineStr">
        <is>
          <t>Assistente Administrativo / Operacional</t>
        </is>
      </c>
      <c r="C1999" s="4" t="inlineStr">
        <is>
          <t>Efetivo Concursado</t>
        </is>
      </c>
      <c r="D1999" s="4" t="inlineStr">
        <is>
          <t>SEC-ADM</t>
        </is>
      </c>
      <c r="E1999" s="6" t="n">
        <v>3306.81</v>
      </c>
      <c r="F1999" s="6">
        <f>E1999*0.22</f>
        <v/>
      </c>
      <c r="G1999" s="6">
        <f>E1999+F1999</f>
        <v/>
      </c>
      <c r="H1999" s="10" t="n">
        <v>13</v>
      </c>
      <c r="I1999" s="7">
        <f>H1999/(180*0.714)</f>
        <v/>
      </c>
    </row>
    <row r="2000">
      <c r="A2000" s="4" t="inlineStr">
        <is>
          <t>SERV-11996</t>
        </is>
      </c>
      <c r="B2000" s="5" t="inlineStr">
        <is>
          <t>Assistente Administrativo / Operacional</t>
        </is>
      </c>
      <c r="C2000" s="4" t="inlineStr">
        <is>
          <t>Efetivo Concursado</t>
        </is>
      </c>
      <c r="D2000" s="4" t="inlineStr">
        <is>
          <t>SEC-ADM</t>
        </is>
      </c>
      <c r="E2000" s="6" t="n">
        <v>3175.62</v>
      </c>
      <c r="F2000" s="6">
        <f>E2000*0.22</f>
        <v/>
      </c>
      <c r="G2000" s="6">
        <f>E2000+F2000</f>
        <v/>
      </c>
      <c r="H2000" s="10" t="n">
        <v>6</v>
      </c>
      <c r="I2000" s="7">
        <f>H2000/(180*0.714)</f>
        <v/>
      </c>
    </row>
    <row r="2001">
      <c r="A2001" s="4" t="inlineStr">
        <is>
          <t>SERV-11997</t>
        </is>
      </c>
      <c r="B2001" s="5" t="inlineStr">
        <is>
          <t>Assistente Administrativo / Operacional</t>
        </is>
      </c>
      <c r="C2001" s="4" t="inlineStr">
        <is>
          <t>Efetivo Concursado</t>
        </is>
      </c>
      <c r="D2001" s="4" t="inlineStr">
        <is>
          <t>SEC-ADM</t>
        </is>
      </c>
      <c r="E2001" s="6" t="n">
        <v>3060.46</v>
      </c>
      <c r="F2001" s="6">
        <f>E2001*0.22</f>
        <v/>
      </c>
      <c r="G2001" s="6">
        <f>E2001+F2001</f>
        <v/>
      </c>
      <c r="H2001" s="10" t="n">
        <v>10</v>
      </c>
      <c r="I2001" s="7">
        <f>H2001/(180*0.714)</f>
        <v/>
      </c>
    </row>
    <row r="2002">
      <c r="A2002" s="4" t="inlineStr">
        <is>
          <t>SERV-11998</t>
        </is>
      </c>
      <c r="B2002" s="5" t="inlineStr">
        <is>
          <t>Assistente Administrativo / Operacional</t>
        </is>
      </c>
      <c r="C2002" s="4" t="inlineStr">
        <is>
          <t>Efetivo Concursado</t>
        </is>
      </c>
      <c r="D2002" s="4" t="inlineStr">
        <is>
          <t>SEC-ADM</t>
        </is>
      </c>
      <c r="E2002" s="6" t="n">
        <v>3075.4</v>
      </c>
      <c r="F2002" s="6">
        <f>E2002*0.22</f>
        <v/>
      </c>
      <c r="G2002" s="6">
        <f>E2002+F2002</f>
        <v/>
      </c>
      <c r="H2002" s="10" t="n">
        <v>5</v>
      </c>
      <c r="I2002" s="7">
        <f>H2002/(180*0.714)</f>
        <v/>
      </c>
    </row>
    <row r="2003">
      <c r="A2003" s="4" t="inlineStr">
        <is>
          <t>SERV-11999</t>
        </is>
      </c>
      <c r="B2003" s="5" t="inlineStr">
        <is>
          <t>Assistente Administrativo / Operacional</t>
        </is>
      </c>
      <c r="C2003" s="4" t="inlineStr">
        <is>
          <t>Efetivo Concursado</t>
        </is>
      </c>
      <c r="D2003" s="4" t="inlineStr">
        <is>
          <t>SEC-ADM</t>
        </is>
      </c>
      <c r="E2003" s="6" t="n">
        <v>3241.18</v>
      </c>
      <c r="F2003" s="6">
        <f>E2003*0.22</f>
        <v/>
      </c>
      <c r="G2003" s="6">
        <f>E2003+F2003</f>
        <v/>
      </c>
      <c r="H2003" s="10" t="n">
        <v>4</v>
      </c>
      <c r="I2003" s="7">
        <f>H2003/(180*0.714)</f>
        <v/>
      </c>
    </row>
    <row r="2004">
      <c r="A2004" s="4" t="inlineStr">
        <is>
          <t>SERV-12000</t>
        </is>
      </c>
      <c r="B2004" s="5" t="inlineStr">
        <is>
          <t>Assistente Administrativo / Operacional</t>
        </is>
      </c>
      <c r="C2004" s="4" t="inlineStr">
        <is>
          <t>Efetivo Concursado</t>
        </is>
      </c>
      <c r="D2004" s="4" t="inlineStr">
        <is>
          <t>SEC-ADM</t>
        </is>
      </c>
      <c r="E2004" s="6" t="n">
        <v>3091.05</v>
      </c>
      <c r="F2004" s="6">
        <f>E2004*0.22</f>
        <v/>
      </c>
      <c r="G2004" s="6">
        <f>E2004+F2004</f>
        <v/>
      </c>
      <c r="H2004" s="10" t="n">
        <v>9</v>
      </c>
      <c r="I2004" s="7">
        <f>H2004/(180*0.714)</f>
        <v/>
      </c>
    </row>
    <row r="2005">
      <c r="A2005" s="4" t="inlineStr">
        <is>
          <t>SERV-12001</t>
        </is>
      </c>
      <c r="B2005" s="5" t="inlineStr">
        <is>
          <t>Assistente Administrativo / Operacional</t>
        </is>
      </c>
      <c r="C2005" s="4" t="inlineStr">
        <is>
          <t>Efetivo Concursado</t>
        </is>
      </c>
      <c r="D2005" s="4" t="inlineStr">
        <is>
          <t>SEC-ADM</t>
        </is>
      </c>
      <c r="E2005" s="6" t="n">
        <v>2894.18</v>
      </c>
      <c r="F2005" s="6">
        <f>E2005*0.22</f>
        <v/>
      </c>
      <c r="G2005" s="6">
        <f>E2005+F2005</f>
        <v/>
      </c>
      <c r="H2005" s="10" t="n">
        <v>8</v>
      </c>
      <c r="I2005" s="7">
        <f>H2005/(180*0.714)</f>
        <v/>
      </c>
    </row>
    <row r="2006">
      <c r="A2006" s="4" t="inlineStr">
        <is>
          <t>SERV-12002</t>
        </is>
      </c>
      <c r="B2006" s="5" t="inlineStr">
        <is>
          <t>Assistente Administrativo / Operacional</t>
        </is>
      </c>
      <c r="C2006" s="4" t="inlineStr">
        <is>
          <t>Efetivo Concursado</t>
        </is>
      </c>
      <c r="D2006" s="4" t="inlineStr">
        <is>
          <t>SEC-ADM</t>
        </is>
      </c>
      <c r="E2006" s="6" t="n">
        <v>3222.83</v>
      </c>
      <c r="F2006" s="6">
        <f>E2006*0.22</f>
        <v/>
      </c>
      <c r="G2006" s="6">
        <f>E2006+F2006</f>
        <v/>
      </c>
      <c r="H2006" s="10" t="n">
        <v>11</v>
      </c>
      <c r="I2006" s="7">
        <f>H2006/(180*0.714)</f>
        <v/>
      </c>
    </row>
    <row r="2007">
      <c r="A2007" s="4" t="inlineStr">
        <is>
          <t>SERV-12003</t>
        </is>
      </c>
      <c r="B2007" s="5" t="inlineStr">
        <is>
          <t>Assistente Administrativo / Operacional</t>
        </is>
      </c>
      <c r="C2007" s="4" t="inlineStr">
        <is>
          <t>Efetivo Concursado</t>
        </is>
      </c>
      <c r="D2007" s="4" t="inlineStr">
        <is>
          <t>SEC-ADM</t>
        </is>
      </c>
      <c r="E2007" s="6" t="n">
        <v>3240.87</v>
      </c>
      <c r="F2007" s="6">
        <f>E2007*0.22</f>
        <v/>
      </c>
      <c r="G2007" s="6">
        <f>E2007+F2007</f>
        <v/>
      </c>
      <c r="H2007" s="10" t="n">
        <v>9</v>
      </c>
      <c r="I2007" s="7">
        <f>H2007/(180*0.714)</f>
        <v/>
      </c>
    </row>
    <row r="2008">
      <c r="A2008" s="4" t="inlineStr">
        <is>
          <t>SERV-12004</t>
        </is>
      </c>
      <c r="B2008" s="5" t="inlineStr">
        <is>
          <t>Assistente Administrativo / Operacional</t>
        </is>
      </c>
      <c r="C2008" s="4" t="inlineStr">
        <is>
          <t>Efetivo Concursado</t>
        </is>
      </c>
      <c r="D2008" s="4" t="inlineStr">
        <is>
          <t>SEC-ADM</t>
        </is>
      </c>
      <c r="E2008" s="6" t="n">
        <v>2904.13</v>
      </c>
      <c r="F2008" s="6">
        <f>E2008*0.22</f>
        <v/>
      </c>
      <c r="G2008" s="6">
        <f>E2008+F2008</f>
        <v/>
      </c>
      <c r="H2008" s="10" t="n">
        <v>12</v>
      </c>
      <c r="I2008" s="7">
        <f>H2008/(180*0.714)</f>
        <v/>
      </c>
    </row>
    <row r="2009">
      <c r="A2009" s="4" t="inlineStr">
        <is>
          <t>SERV-12005</t>
        </is>
      </c>
      <c r="B2009" s="5" t="inlineStr">
        <is>
          <t>Assistente Administrativo / Operacional</t>
        </is>
      </c>
      <c r="C2009" s="4" t="inlineStr">
        <is>
          <t>Efetivo Concursado</t>
        </is>
      </c>
      <c r="D2009" s="4" t="inlineStr">
        <is>
          <t>SEC-ADM</t>
        </is>
      </c>
      <c r="E2009" s="6" t="n">
        <v>3100.61</v>
      </c>
      <c r="F2009" s="6">
        <f>E2009*0.22</f>
        <v/>
      </c>
      <c r="G2009" s="6">
        <f>E2009+F2009</f>
        <v/>
      </c>
      <c r="H2009" s="10" t="n">
        <v>8</v>
      </c>
      <c r="I2009" s="7">
        <f>H2009/(180*0.714)</f>
        <v/>
      </c>
    </row>
    <row r="2010">
      <c r="A2010" s="4" t="inlineStr">
        <is>
          <t>SERV-12006</t>
        </is>
      </c>
      <c r="B2010" s="5" t="inlineStr">
        <is>
          <t>Assistente Administrativo / Operacional</t>
        </is>
      </c>
      <c r="C2010" s="4" t="inlineStr">
        <is>
          <t>Efetivo Concursado</t>
        </is>
      </c>
      <c r="D2010" s="4" t="inlineStr">
        <is>
          <t>SEC-ADM</t>
        </is>
      </c>
      <c r="E2010" s="6" t="n">
        <v>3057.39</v>
      </c>
      <c r="F2010" s="6">
        <f>E2010*0.22</f>
        <v/>
      </c>
      <c r="G2010" s="6">
        <f>E2010+F2010</f>
        <v/>
      </c>
      <c r="H2010" s="10" t="n">
        <v>8</v>
      </c>
      <c r="I2010" s="7">
        <f>H2010/(180*0.714)</f>
        <v/>
      </c>
    </row>
    <row r="2011">
      <c r="A2011" s="4" t="inlineStr">
        <is>
          <t>SERV-12007</t>
        </is>
      </c>
      <c r="B2011" s="5" t="inlineStr">
        <is>
          <t>Assistente Administrativo / Operacional</t>
        </is>
      </c>
      <c r="C2011" s="4" t="inlineStr">
        <is>
          <t>Efetivo Concursado</t>
        </is>
      </c>
      <c r="D2011" s="4" t="inlineStr">
        <is>
          <t>SEC-ADM</t>
        </is>
      </c>
      <c r="E2011" s="6" t="n">
        <v>3151.56</v>
      </c>
      <c r="F2011" s="6">
        <f>E2011*0.22</f>
        <v/>
      </c>
      <c r="G2011" s="6">
        <f>E2011+F2011</f>
        <v/>
      </c>
      <c r="H2011" s="10" t="n">
        <v>10</v>
      </c>
      <c r="I2011" s="7">
        <f>H2011/(180*0.714)</f>
        <v/>
      </c>
    </row>
    <row r="2012">
      <c r="A2012" s="4" t="inlineStr">
        <is>
          <t>SERV-12008</t>
        </is>
      </c>
      <c r="B2012" s="5" t="inlineStr">
        <is>
          <t>Assistente Administrativo / Operacional</t>
        </is>
      </c>
      <c r="C2012" s="4" t="inlineStr">
        <is>
          <t>Efetivo Concursado</t>
        </is>
      </c>
      <c r="D2012" s="4" t="inlineStr">
        <is>
          <t>SEC-ADM</t>
        </is>
      </c>
      <c r="E2012" s="6" t="n">
        <v>3450.65</v>
      </c>
      <c r="F2012" s="6">
        <f>E2012*0.22</f>
        <v/>
      </c>
      <c r="G2012" s="6">
        <f>E2012+F2012</f>
        <v/>
      </c>
      <c r="H2012" s="10" t="n">
        <v>13</v>
      </c>
      <c r="I2012" s="7">
        <f>H2012/(180*0.714)</f>
        <v/>
      </c>
    </row>
    <row r="2013">
      <c r="A2013" s="4" t="inlineStr">
        <is>
          <t>SERV-12009</t>
        </is>
      </c>
      <c r="B2013" s="5" t="inlineStr">
        <is>
          <t>Assistente Administrativo / Operacional</t>
        </is>
      </c>
      <c r="C2013" s="4" t="inlineStr">
        <is>
          <t>Efetivo Concursado</t>
        </is>
      </c>
      <c r="D2013" s="4" t="inlineStr">
        <is>
          <t>SEC-ADM</t>
        </is>
      </c>
      <c r="E2013" s="6" t="n">
        <v>2968.48</v>
      </c>
      <c r="F2013" s="6">
        <f>E2013*0.22</f>
        <v/>
      </c>
      <c r="G2013" s="6">
        <f>E2013+F2013</f>
        <v/>
      </c>
      <c r="H2013" s="10" t="n">
        <v>14</v>
      </c>
      <c r="I2013" s="7">
        <f>H2013/(180*0.714)</f>
        <v/>
      </c>
    </row>
    <row r="2014">
      <c r="A2014" s="4" t="inlineStr">
        <is>
          <t>SERV-12010</t>
        </is>
      </c>
      <c r="B2014" s="5" t="inlineStr">
        <is>
          <t>Assistente Administrativo / Operacional</t>
        </is>
      </c>
      <c r="C2014" s="4" t="inlineStr">
        <is>
          <t>Efetivo Concursado</t>
        </is>
      </c>
      <c r="D2014" s="4" t="inlineStr">
        <is>
          <t>SEC-ADM</t>
        </is>
      </c>
      <c r="E2014" s="6" t="n">
        <v>3019.45</v>
      </c>
      <c r="F2014" s="6">
        <f>E2014*0.22</f>
        <v/>
      </c>
      <c r="G2014" s="6">
        <f>E2014+F2014</f>
        <v/>
      </c>
      <c r="H2014" s="10" t="n">
        <v>9</v>
      </c>
      <c r="I2014" s="7">
        <f>H2014/(180*0.714)</f>
        <v/>
      </c>
    </row>
    <row r="2015">
      <c r="A2015" s="4" t="inlineStr">
        <is>
          <t>SERV-12011</t>
        </is>
      </c>
      <c r="B2015" s="5" t="inlineStr">
        <is>
          <t>Assistente Administrativo / Operacional</t>
        </is>
      </c>
      <c r="C2015" s="4" t="inlineStr">
        <is>
          <t>Efetivo Concursado</t>
        </is>
      </c>
      <c r="D2015" s="4" t="inlineStr">
        <is>
          <t>SEC-ADM</t>
        </is>
      </c>
      <c r="E2015" s="6" t="n">
        <v>3318.4</v>
      </c>
      <c r="F2015" s="6">
        <f>E2015*0.22</f>
        <v/>
      </c>
      <c r="G2015" s="6">
        <f>E2015+F2015</f>
        <v/>
      </c>
      <c r="H2015" s="10" t="n">
        <v>7</v>
      </c>
      <c r="I2015" s="7">
        <f>H2015/(180*0.714)</f>
        <v/>
      </c>
    </row>
    <row r="2016">
      <c r="A2016" s="4" t="inlineStr">
        <is>
          <t>SERV-12012</t>
        </is>
      </c>
      <c r="B2016" s="5" t="inlineStr">
        <is>
          <t>Assistente Administrativo / Operacional</t>
        </is>
      </c>
      <c r="C2016" s="4" t="inlineStr">
        <is>
          <t>Efetivo Concursado</t>
        </is>
      </c>
      <c r="D2016" s="4" t="inlineStr">
        <is>
          <t>SEC-ADM</t>
        </is>
      </c>
      <c r="E2016" s="6" t="n">
        <v>3237.78</v>
      </c>
      <c r="F2016" s="6">
        <f>E2016*0.22</f>
        <v/>
      </c>
      <c r="G2016" s="6">
        <f>E2016+F2016</f>
        <v/>
      </c>
      <c r="H2016" s="10" t="n">
        <v>14</v>
      </c>
      <c r="I2016" s="7">
        <f>H2016/(180*0.714)</f>
        <v/>
      </c>
    </row>
    <row r="2017">
      <c r="A2017" s="4" t="inlineStr">
        <is>
          <t>SERV-12013</t>
        </is>
      </c>
      <c r="B2017" s="5" t="inlineStr">
        <is>
          <t>Assistente Administrativo / Operacional</t>
        </is>
      </c>
      <c r="C2017" s="4" t="inlineStr">
        <is>
          <t>Efetivo Concursado</t>
        </is>
      </c>
      <c r="D2017" s="4" t="inlineStr">
        <is>
          <t>SEC-ADM</t>
        </is>
      </c>
      <c r="E2017" s="6" t="n">
        <v>3192.06</v>
      </c>
      <c r="F2017" s="6">
        <f>E2017*0.22</f>
        <v/>
      </c>
      <c r="G2017" s="6">
        <f>E2017+F2017</f>
        <v/>
      </c>
      <c r="H2017" s="10" t="n">
        <v>8</v>
      </c>
      <c r="I2017" s="7">
        <f>H2017/(180*0.714)</f>
        <v/>
      </c>
    </row>
    <row r="2018">
      <c r="A2018" s="4" t="inlineStr">
        <is>
          <t>SERV-12014</t>
        </is>
      </c>
      <c r="B2018" s="5" t="inlineStr">
        <is>
          <t>Assistente Administrativo / Operacional</t>
        </is>
      </c>
      <c r="C2018" s="4" t="inlineStr">
        <is>
          <t>Efetivo Concursado</t>
        </is>
      </c>
      <c r="D2018" s="4" t="inlineStr">
        <is>
          <t>SEC-ADM</t>
        </is>
      </c>
      <c r="E2018" s="6" t="n">
        <v>3203.67</v>
      </c>
      <c r="F2018" s="6">
        <f>E2018*0.22</f>
        <v/>
      </c>
      <c r="G2018" s="6">
        <f>E2018+F2018</f>
        <v/>
      </c>
      <c r="H2018" s="10" t="n">
        <v>14</v>
      </c>
      <c r="I2018" s="7">
        <f>H2018/(180*0.714)</f>
        <v/>
      </c>
    </row>
    <row r="2019">
      <c r="A2019" s="4" t="inlineStr">
        <is>
          <t>SERV-12015</t>
        </is>
      </c>
      <c r="B2019" s="5" t="inlineStr">
        <is>
          <t>Assistente Administrativo / Operacional</t>
        </is>
      </c>
      <c r="C2019" s="4" t="inlineStr">
        <is>
          <t>Efetivo Concursado</t>
        </is>
      </c>
      <c r="D2019" s="4" t="inlineStr">
        <is>
          <t>SEC-ADM</t>
        </is>
      </c>
      <c r="E2019" s="6" t="n">
        <v>3139.66</v>
      </c>
      <c r="F2019" s="6">
        <f>E2019*0.22</f>
        <v/>
      </c>
      <c r="G2019" s="6">
        <f>E2019+F2019</f>
        <v/>
      </c>
      <c r="H2019" s="10" t="n">
        <v>11</v>
      </c>
      <c r="I2019" s="7">
        <f>H2019/(180*0.714)</f>
        <v/>
      </c>
    </row>
    <row r="2020">
      <c r="A2020" s="4" t="inlineStr">
        <is>
          <t>SERV-12016</t>
        </is>
      </c>
      <c r="B2020" s="5" t="inlineStr">
        <is>
          <t>Assistente Administrativo / Operacional</t>
        </is>
      </c>
      <c r="C2020" s="4" t="inlineStr">
        <is>
          <t>Efetivo Concursado</t>
        </is>
      </c>
      <c r="D2020" s="4" t="inlineStr">
        <is>
          <t>SEC-ADM</t>
        </is>
      </c>
      <c r="E2020" s="6" t="n">
        <v>3332.41</v>
      </c>
      <c r="F2020" s="6">
        <f>E2020*0.22</f>
        <v/>
      </c>
      <c r="G2020" s="6">
        <f>E2020+F2020</f>
        <v/>
      </c>
      <c r="H2020" s="10" t="n">
        <v>13</v>
      </c>
      <c r="I2020" s="7">
        <f>H2020/(180*0.714)</f>
        <v/>
      </c>
    </row>
    <row r="2021">
      <c r="A2021" s="4" t="inlineStr">
        <is>
          <t>SERV-12017</t>
        </is>
      </c>
      <c r="B2021" s="5" t="inlineStr">
        <is>
          <t>Assistente Administrativo / Operacional</t>
        </is>
      </c>
      <c r="C2021" s="4" t="inlineStr">
        <is>
          <t>Efetivo Concursado</t>
        </is>
      </c>
      <c r="D2021" s="4" t="inlineStr">
        <is>
          <t>SEC-ADM</t>
        </is>
      </c>
      <c r="E2021" s="6" t="n">
        <v>3229.02</v>
      </c>
      <c r="F2021" s="6">
        <f>E2021*0.22</f>
        <v/>
      </c>
      <c r="G2021" s="6">
        <f>E2021+F2021</f>
        <v/>
      </c>
      <c r="H2021" s="10" t="n">
        <v>8</v>
      </c>
      <c r="I2021" s="7">
        <f>H2021/(180*0.714)</f>
        <v/>
      </c>
    </row>
    <row r="2022">
      <c r="A2022" s="4" t="inlineStr">
        <is>
          <t>SERV-12018</t>
        </is>
      </c>
      <c r="B2022" s="5" t="inlineStr">
        <is>
          <t>Assistente Administrativo / Operacional</t>
        </is>
      </c>
      <c r="C2022" s="4" t="inlineStr">
        <is>
          <t>Efetivo Concursado</t>
        </is>
      </c>
      <c r="D2022" s="4" t="inlineStr">
        <is>
          <t>SEC-ADM</t>
        </is>
      </c>
      <c r="E2022" s="6" t="n">
        <v>3431.86</v>
      </c>
      <c r="F2022" s="6">
        <f>E2022*0.22</f>
        <v/>
      </c>
      <c r="G2022" s="6">
        <f>E2022+F2022</f>
        <v/>
      </c>
      <c r="H2022" s="10" t="n">
        <v>3</v>
      </c>
      <c r="I2022" s="7">
        <f>H2022/(180*0.714)</f>
        <v/>
      </c>
    </row>
    <row r="2023">
      <c r="A2023" s="4" t="inlineStr">
        <is>
          <t>SERV-12019</t>
        </is>
      </c>
      <c r="B2023" s="5" t="inlineStr">
        <is>
          <t>Assistente Administrativo / Operacional</t>
        </is>
      </c>
      <c r="C2023" s="4" t="inlineStr">
        <is>
          <t>Efetivo Concursado</t>
        </is>
      </c>
      <c r="D2023" s="4" t="inlineStr">
        <is>
          <t>SEC-ADM</t>
        </is>
      </c>
      <c r="E2023" s="6" t="n">
        <v>3467.33</v>
      </c>
      <c r="F2023" s="6">
        <f>E2023*0.22</f>
        <v/>
      </c>
      <c r="G2023" s="6">
        <f>E2023+F2023</f>
        <v/>
      </c>
      <c r="H2023" s="10" t="n">
        <v>9</v>
      </c>
      <c r="I2023" s="7">
        <f>H2023/(180*0.714)</f>
        <v/>
      </c>
    </row>
    <row r="2024">
      <c r="A2024" s="4" t="inlineStr">
        <is>
          <t>SERV-12020</t>
        </is>
      </c>
      <c r="B2024" s="5" t="inlineStr">
        <is>
          <t>Assistente Administrativo / Operacional</t>
        </is>
      </c>
      <c r="C2024" s="4" t="inlineStr">
        <is>
          <t>Efetivo Concursado</t>
        </is>
      </c>
      <c r="D2024" s="4" t="inlineStr">
        <is>
          <t>SEC-ADM</t>
        </is>
      </c>
      <c r="E2024" s="6" t="n">
        <v>3352.67</v>
      </c>
      <c r="F2024" s="6">
        <f>E2024*0.22</f>
        <v/>
      </c>
      <c r="G2024" s="6">
        <f>E2024+F2024</f>
        <v/>
      </c>
      <c r="H2024" s="10" t="n">
        <v>3</v>
      </c>
      <c r="I2024" s="7">
        <f>H2024/(180*0.714)</f>
        <v/>
      </c>
    </row>
    <row r="2025">
      <c r="A2025" s="4" t="inlineStr">
        <is>
          <t>SERV-12021</t>
        </is>
      </c>
      <c r="B2025" s="5" t="inlineStr">
        <is>
          <t>Assistente Administrativo / Operacional</t>
        </is>
      </c>
      <c r="C2025" s="4" t="inlineStr">
        <is>
          <t>Efetivo Concursado</t>
        </is>
      </c>
      <c r="D2025" s="4" t="inlineStr">
        <is>
          <t>SEC-ADM</t>
        </is>
      </c>
      <c r="E2025" s="6" t="n">
        <v>3289.04</v>
      </c>
      <c r="F2025" s="6">
        <f>E2025*0.22</f>
        <v/>
      </c>
      <c r="G2025" s="6">
        <f>E2025+F2025</f>
        <v/>
      </c>
      <c r="H2025" s="10" t="n">
        <v>8</v>
      </c>
      <c r="I2025" s="7">
        <f>H2025/(180*0.714)</f>
        <v/>
      </c>
    </row>
    <row r="2026">
      <c r="A2026" s="4" t="inlineStr">
        <is>
          <t>SERV-12022</t>
        </is>
      </c>
      <c r="B2026" s="5" t="inlineStr">
        <is>
          <t>Assistente Administrativo / Operacional</t>
        </is>
      </c>
      <c r="C2026" s="4" t="inlineStr">
        <is>
          <t>Efetivo Concursado</t>
        </is>
      </c>
      <c r="D2026" s="4" t="inlineStr">
        <is>
          <t>SEC-ADM</t>
        </is>
      </c>
      <c r="E2026" s="6" t="n">
        <v>3320.76</v>
      </c>
      <c r="F2026" s="6">
        <f>E2026*0.22</f>
        <v/>
      </c>
      <c r="G2026" s="6">
        <f>E2026+F2026</f>
        <v/>
      </c>
      <c r="H2026" s="10" t="n">
        <v>13</v>
      </c>
      <c r="I2026" s="7">
        <f>H2026/(180*0.714)</f>
        <v/>
      </c>
    </row>
    <row r="2027">
      <c r="A2027" s="4" t="inlineStr">
        <is>
          <t>SERV-12023</t>
        </is>
      </c>
      <c r="B2027" s="5" t="inlineStr">
        <is>
          <t>Assistente Administrativo / Operacional</t>
        </is>
      </c>
      <c r="C2027" s="4" t="inlineStr">
        <is>
          <t>Efetivo Concursado</t>
        </is>
      </c>
      <c r="D2027" s="4" t="inlineStr">
        <is>
          <t>SEC-ADM</t>
        </is>
      </c>
      <c r="E2027" s="6" t="n">
        <v>2939.35</v>
      </c>
      <c r="F2027" s="6">
        <f>E2027*0.22</f>
        <v/>
      </c>
      <c r="G2027" s="6">
        <f>E2027+F2027</f>
        <v/>
      </c>
      <c r="H2027" s="10" t="n">
        <v>7</v>
      </c>
      <c r="I2027" s="7">
        <f>H2027/(180*0.714)</f>
        <v/>
      </c>
    </row>
    <row r="2028">
      <c r="A2028" s="4" t="inlineStr">
        <is>
          <t>SERV-12024</t>
        </is>
      </c>
      <c r="B2028" s="5" t="inlineStr">
        <is>
          <t>Assistente Administrativo / Operacional</t>
        </is>
      </c>
      <c r="C2028" s="4" t="inlineStr">
        <is>
          <t>Efetivo Concursado</t>
        </is>
      </c>
      <c r="D2028" s="4" t="inlineStr">
        <is>
          <t>SEC-ADM</t>
        </is>
      </c>
      <c r="E2028" s="6" t="n">
        <v>3204.98</v>
      </c>
      <c r="F2028" s="6">
        <f>E2028*0.22</f>
        <v/>
      </c>
      <c r="G2028" s="6">
        <f>E2028+F2028</f>
        <v/>
      </c>
      <c r="H2028" s="10" t="n">
        <v>8</v>
      </c>
      <c r="I2028" s="7">
        <f>H2028/(180*0.714)</f>
        <v/>
      </c>
    </row>
    <row r="2029">
      <c r="A2029" s="4" t="inlineStr">
        <is>
          <t>SERV-12025</t>
        </is>
      </c>
      <c r="B2029" s="5" t="inlineStr">
        <is>
          <t>Assistente Administrativo / Operacional</t>
        </is>
      </c>
      <c r="C2029" s="4" t="inlineStr">
        <is>
          <t>Efetivo Concursado</t>
        </is>
      </c>
      <c r="D2029" s="4" t="inlineStr">
        <is>
          <t>SEC-ADM</t>
        </is>
      </c>
      <c r="E2029" s="6" t="n">
        <v>3242.71</v>
      </c>
      <c r="F2029" s="6">
        <f>E2029*0.22</f>
        <v/>
      </c>
      <c r="G2029" s="6">
        <f>E2029+F2029</f>
        <v/>
      </c>
      <c r="H2029" s="10" t="n">
        <v>6</v>
      </c>
      <c r="I2029" s="7">
        <f>H2029/(180*0.714)</f>
        <v/>
      </c>
    </row>
    <row r="2030">
      <c r="A2030" s="4" t="inlineStr">
        <is>
          <t>SERV-12026</t>
        </is>
      </c>
      <c r="B2030" s="5" t="inlineStr">
        <is>
          <t>Assistente Administrativo / Operacional</t>
        </is>
      </c>
      <c r="C2030" s="4" t="inlineStr">
        <is>
          <t>Efetivo Concursado</t>
        </is>
      </c>
      <c r="D2030" s="4" t="inlineStr">
        <is>
          <t>SEC-ADM</t>
        </is>
      </c>
      <c r="E2030" s="6" t="n">
        <v>3082.49</v>
      </c>
      <c r="F2030" s="6">
        <f>E2030*0.22</f>
        <v/>
      </c>
      <c r="G2030" s="6">
        <f>E2030+F2030</f>
        <v/>
      </c>
      <c r="H2030" s="10" t="n">
        <v>12</v>
      </c>
      <c r="I2030" s="7">
        <f>H2030/(180*0.714)</f>
        <v/>
      </c>
    </row>
    <row r="2031">
      <c r="A2031" s="4" t="inlineStr">
        <is>
          <t>SERV-12027</t>
        </is>
      </c>
      <c r="B2031" s="5" t="inlineStr">
        <is>
          <t>Assistente Administrativo / Operacional</t>
        </is>
      </c>
      <c r="C2031" s="4" t="inlineStr">
        <is>
          <t>Efetivo Concursado</t>
        </is>
      </c>
      <c r="D2031" s="4" t="inlineStr">
        <is>
          <t>SEC-ADM</t>
        </is>
      </c>
      <c r="E2031" s="6" t="n">
        <v>3396.69</v>
      </c>
      <c r="F2031" s="6">
        <f>E2031*0.22</f>
        <v/>
      </c>
      <c r="G2031" s="6">
        <f>E2031+F2031</f>
        <v/>
      </c>
      <c r="H2031" s="10" t="n">
        <v>10</v>
      </c>
      <c r="I2031" s="7">
        <f>H2031/(180*0.714)</f>
        <v/>
      </c>
    </row>
    <row r="2032">
      <c r="A2032" s="4" t="inlineStr">
        <is>
          <t>SERV-12028</t>
        </is>
      </c>
      <c r="B2032" s="5" t="inlineStr">
        <is>
          <t>Assistente Administrativo / Operacional</t>
        </is>
      </c>
      <c r="C2032" s="4" t="inlineStr">
        <is>
          <t>Efetivo Concursado</t>
        </is>
      </c>
      <c r="D2032" s="4" t="inlineStr">
        <is>
          <t>SEC-ADM</t>
        </is>
      </c>
      <c r="E2032" s="6" t="n">
        <v>3097.36</v>
      </c>
      <c r="F2032" s="6">
        <f>E2032*0.22</f>
        <v/>
      </c>
      <c r="G2032" s="6">
        <f>E2032+F2032</f>
        <v/>
      </c>
      <c r="H2032" s="10" t="n">
        <v>5</v>
      </c>
      <c r="I2032" s="7">
        <f>H2032/(180*0.714)</f>
        <v/>
      </c>
    </row>
    <row r="2033">
      <c r="A2033" s="4" t="inlineStr">
        <is>
          <t>SERV-12029</t>
        </is>
      </c>
      <c r="B2033" s="5" t="inlineStr">
        <is>
          <t>Assistente Administrativo / Operacional</t>
        </is>
      </c>
      <c r="C2033" s="4" t="inlineStr">
        <is>
          <t>Efetivo Concursado</t>
        </is>
      </c>
      <c r="D2033" s="4" t="inlineStr">
        <is>
          <t>SEC-ADM</t>
        </is>
      </c>
      <c r="E2033" s="6" t="n">
        <v>2866.17</v>
      </c>
      <c r="F2033" s="6">
        <f>E2033*0.22</f>
        <v/>
      </c>
      <c r="G2033" s="6">
        <f>E2033+F2033</f>
        <v/>
      </c>
      <c r="H2033" s="10" t="n">
        <v>10</v>
      </c>
      <c r="I2033" s="7">
        <f>H2033/(180*0.714)</f>
        <v/>
      </c>
    </row>
    <row r="2034">
      <c r="A2034" s="4" t="inlineStr">
        <is>
          <t>SERV-12030</t>
        </is>
      </c>
      <c r="B2034" s="5" t="inlineStr">
        <is>
          <t>Assistente Administrativo / Operacional</t>
        </is>
      </c>
      <c r="C2034" s="4" t="inlineStr">
        <is>
          <t>Efetivo Concursado</t>
        </is>
      </c>
      <c r="D2034" s="4" t="inlineStr">
        <is>
          <t>SEC-ADM</t>
        </is>
      </c>
      <c r="E2034" s="6" t="n">
        <v>2894.79</v>
      </c>
      <c r="F2034" s="6">
        <f>E2034*0.22</f>
        <v/>
      </c>
      <c r="G2034" s="6">
        <f>E2034+F2034</f>
        <v/>
      </c>
      <c r="H2034" s="10" t="n">
        <v>14</v>
      </c>
      <c r="I2034" s="7">
        <f>H2034/(180*0.714)</f>
        <v/>
      </c>
    </row>
    <row r="2035">
      <c r="A2035" s="4" t="inlineStr">
        <is>
          <t>SERV-12031</t>
        </is>
      </c>
      <c r="B2035" s="5" t="inlineStr">
        <is>
          <t>Assistente Administrativo / Operacional</t>
        </is>
      </c>
      <c r="C2035" s="4" t="inlineStr">
        <is>
          <t>Efetivo Concursado</t>
        </is>
      </c>
      <c r="D2035" s="4" t="inlineStr">
        <is>
          <t>SEC-ADM</t>
        </is>
      </c>
      <c r="E2035" s="6" t="n">
        <v>3305.86</v>
      </c>
      <c r="F2035" s="6">
        <f>E2035*0.22</f>
        <v/>
      </c>
      <c r="G2035" s="6">
        <f>E2035+F2035</f>
        <v/>
      </c>
      <c r="H2035" s="10" t="n">
        <v>13</v>
      </c>
      <c r="I2035" s="7">
        <f>H2035/(180*0.714)</f>
        <v/>
      </c>
    </row>
    <row r="2036">
      <c r="A2036" s="4" t="inlineStr">
        <is>
          <t>SERV-12032</t>
        </is>
      </c>
      <c r="B2036" s="5" t="inlineStr">
        <is>
          <t>Assistente Administrativo / Operacional</t>
        </is>
      </c>
      <c r="C2036" s="4" t="inlineStr">
        <is>
          <t>Efetivo Concursado</t>
        </is>
      </c>
      <c r="D2036" s="4" t="inlineStr">
        <is>
          <t>SEC-ADM</t>
        </is>
      </c>
      <c r="E2036" s="6" t="n">
        <v>3415.49</v>
      </c>
      <c r="F2036" s="6">
        <f>E2036*0.22</f>
        <v/>
      </c>
      <c r="G2036" s="6">
        <f>E2036+F2036</f>
        <v/>
      </c>
      <c r="H2036" s="10" t="n">
        <v>5</v>
      </c>
      <c r="I2036" s="7">
        <f>H2036/(180*0.714)</f>
        <v/>
      </c>
    </row>
    <row r="2037">
      <c r="A2037" s="4" t="inlineStr">
        <is>
          <t>SERV-12033</t>
        </is>
      </c>
      <c r="B2037" s="5" t="inlineStr">
        <is>
          <t>Assistente Administrativo / Operacional</t>
        </is>
      </c>
      <c r="C2037" s="4" t="inlineStr">
        <is>
          <t>Efetivo Concursado</t>
        </is>
      </c>
      <c r="D2037" s="4" t="inlineStr">
        <is>
          <t>SEC-ADM</t>
        </is>
      </c>
      <c r="E2037" s="6" t="n">
        <v>3128.5</v>
      </c>
      <c r="F2037" s="6">
        <f>E2037*0.22</f>
        <v/>
      </c>
      <c r="G2037" s="6">
        <f>E2037+F2037</f>
        <v/>
      </c>
      <c r="H2037" s="10" t="n">
        <v>5</v>
      </c>
      <c r="I2037" s="7">
        <f>H2037/(180*0.714)</f>
        <v/>
      </c>
    </row>
    <row r="2038">
      <c r="A2038" s="4" t="inlineStr">
        <is>
          <t>SERV-12034</t>
        </is>
      </c>
      <c r="B2038" s="5" t="inlineStr">
        <is>
          <t>Assistente Administrativo / Operacional</t>
        </is>
      </c>
      <c r="C2038" s="4" t="inlineStr">
        <is>
          <t>Efetivo Concursado</t>
        </is>
      </c>
      <c r="D2038" s="4" t="inlineStr">
        <is>
          <t>SEC-ADM</t>
        </is>
      </c>
      <c r="E2038" s="6" t="n">
        <v>2983.73</v>
      </c>
      <c r="F2038" s="6">
        <f>E2038*0.22</f>
        <v/>
      </c>
      <c r="G2038" s="6">
        <f>E2038+F2038</f>
        <v/>
      </c>
      <c r="H2038" s="10" t="n">
        <v>13</v>
      </c>
      <c r="I2038" s="7">
        <f>H2038/(180*0.714)</f>
        <v/>
      </c>
    </row>
    <row r="2039">
      <c r="A2039" s="4" t="inlineStr">
        <is>
          <t>SERV-12035</t>
        </is>
      </c>
      <c r="B2039" s="5" t="inlineStr">
        <is>
          <t>Assistente Administrativo / Operacional</t>
        </is>
      </c>
      <c r="C2039" s="4" t="inlineStr">
        <is>
          <t>Efetivo Concursado</t>
        </is>
      </c>
      <c r="D2039" s="4" t="inlineStr">
        <is>
          <t>SEC-ADM</t>
        </is>
      </c>
      <c r="E2039" s="6" t="n">
        <v>2903.24</v>
      </c>
      <c r="F2039" s="6">
        <f>E2039*0.22</f>
        <v/>
      </c>
      <c r="G2039" s="6">
        <f>E2039+F2039</f>
        <v/>
      </c>
      <c r="H2039" s="10" t="n">
        <v>4</v>
      </c>
      <c r="I2039" s="7">
        <f>H2039/(180*0.714)</f>
        <v/>
      </c>
    </row>
    <row r="2040">
      <c r="A2040" s="4" t="inlineStr">
        <is>
          <t>SERV-12036</t>
        </is>
      </c>
      <c r="B2040" s="5" t="inlineStr">
        <is>
          <t>Assistente Administrativo / Operacional</t>
        </is>
      </c>
      <c r="C2040" s="4" t="inlineStr">
        <is>
          <t>Efetivo Concursado</t>
        </is>
      </c>
      <c r="D2040" s="4" t="inlineStr">
        <is>
          <t>SEC-ADM</t>
        </is>
      </c>
      <c r="E2040" s="6" t="n">
        <v>3189.3</v>
      </c>
      <c r="F2040" s="6">
        <f>E2040*0.22</f>
        <v/>
      </c>
      <c r="G2040" s="6">
        <f>E2040+F2040</f>
        <v/>
      </c>
      <c r="H2040" s="10" t="n">
        <v>4</v>
      </c>
      <c r="I2040" s="7">
        <f>H2040/(180*0.714)</f>
        <v/>
      </c>
    </row>
    <row r="2041">
      <c r="A2041" s="4" t="inlineStr">
        <is>
          <t>SERV-12037</t>
        </is>
      </c>
      <c r="B2041" s="5" t="inlineStr">
        <is>
          <t>Assistente Administrativo / Operacional</t>
        </is>
      </c>
      <c r="C2041" s="4" t="inlineStr">
        <is>
          <t>Efetivo Concursado</t>
        </is>
      </c>
      <c r="D2041" s="4" t="inlineStr">
        <is>
          <t>SEC-ADM</t>
        </is>
      </c>
      <c r="E2041" s="6" t="n">
        <v>2996.97</v>
      </c>
      <c r="F2041" s="6">
        <f>E2041*0.22</f>
        <v/>
      </c>
      <c r="G2041" s="6">
        <f>E2041+F2041</f>
        <v/>
      </c>
      <c r="H2041" s="10" t="n">
        <v>14</v>
      </c>
      <c r="I2041" s="7">
        <f>H2041/(180*0.714)</f>
        <v/>
      </c>
    </row>
    <row r="2042">
      <c r="A2042" s="4" t="inlineStr">
        <is>
          <t>SERV-12038</t>
        </is>
      </c>
      <c r="B2042" s="5" t="inlineStr">
        <is>
          <t>Assistente Administrativo / Operacional</t>
        </is>
      </c>
      <c r="C2042" s="4" t="inlineStr">
        <is>
          <t>Efetivo Concursado</t>
        </is>
      </c>
      <c r="D2042" s="4" t="inlineStr">
        <is>
          <t>SEC-ADM</t>
        </is>
      </c>
      <c r="E2042" s="6" t="n">
        <v>3181.21</v>
      </c>
      <c r="F2042" s="6">
        <f>E2042*0.22</f>
        <v/>
      </c>
      <c r="G2042" s="6">
        <f>E2042+F2042</f>
        <v/>
      </c>
      <c r="H2042" s="10" t="n">
        <v>8</v>
      </c>
      <c r="I2042" s="7">
        <f>H2042/(180*0.714)</f>
        <v/>
      </c>
    </row>
    <row r="2043">
      <c r="A2043" s="4" t="inlineStr">
        <is>
          <t>SERV-12039</t>
        </is>
      </c>
      <c r="B2043" s="5" t="inlineStr">
        <is>
          <t>Assistente Administrativo / Operacional</t>
        </is>
      </c>
      <c r="C2043" s="4" t="inlineStr">
        <is>
          <t>Efetivo Concursado</t>
        </is>
      </c>
      <c r="D2043" s="4" t="inlineStr">
        <is>
          <t>SEC-ADM</t>
        </is>
      </c>
      <c r="E2043" s="6" t="n">
        <v>3400.9</v>
      </c>
      <c r="F2043" s="6">
        <f>E2043*0.22</f>
        <v/>
      </c>
      <c r="G2043" s="6">
        <f>E2043+F2043</f>
        <v/>
      </c>
      <c r="H2043" s="10" t="n">
        <v>4</v>
      </c>
      <c r="I2043" s="7">
        <f>H2043/(180*0.714)</f>
        <v/>
      </c>
    </row>
    <row r="2044">
      <c r="A2044" s="4" t="inlineStr">
        <is>
          <t>SERV-12040</t>
        </is>
      </c>
      <c r="B2044" s="5" t="inlineStr">
        <is>
          <t>Assistente Administrativo / Operacional</t>
        </is>
      </c>
      <c r="C2044" s="4" t="inlineStr">
        <is>
          <t>Efetivo Concursado</t>
        </is>
      </c>
      <c r="D2044" s="4" t="inlineStr">
        <is>
          <t>SEC-ADM</t>
        </is>
      </c>
      <c r="E2044" s="6" t="n">
        <v>2874.65</v>
      </c>
      <c r="F2044" s="6">
        <f>E2044*0.22</f>
        <v/>
      </c>
      <c r="G2044" s="6">
        <f>E2044+F2044</f>
        <v/>
      </c>
      <c r="H2044" s="10" t="n">
        <v>8</v>
      </c>
      <c r="I2044" s="7">
        <f>H2044/(180*0.714)</f>
        <v/>
      </c>
    </row>
    <row r="2045">
      <c r="A2045" s="4" t="inlineStr">
        <is>
          <t>SERV-12041</t>
        </is>
      </c>
      <c r="B2045" s="5" t="inlineStr">
        <is>
          <t>Assistente Administrativo / Operacional</t>
        </is>
      </c>
      <c r="C2045" s="4" t="inlineStr">
        <is>
          <t>Efetivo Concursado</t>
        </is>
      </c>
      <c r="D2045" s="4" t="inlineStr">
        <is>
          <t>SEC-ADM</t>
        </is>
      </c>
      <c r="E2045" s="6" t="n">
        <v>3078.62</v>
      </c>
      <c r="F2045" s="6">
        <f>E2045*0.22</f>
        <v/>
      </c>
      <c r="G2045" s="6">
        <f>E2045+F2045</f>
        <v/>
      </c>
      <c r="H2045" s="10" t="n">
        <v>14</v>
      </c>
      <c r="I2045" s="7">
        <f>H2045/(180*0.714)</f>
        <v/>
      </c>
    </row>
    <row r="2046">
      <c r="A2046" s="4" t="inlineStr">
        <is>
          <t>SERV-12042</t>
        </is>
      </c>
      <c r="B2046" s="5" t="inlineStr">
        <is>
          <t>Assistente Administrativo / Operacional</t>
        </is>
      </c>
      <c r="C2046" s="4" t="inlineStr">
        <is>
          <t>Efetivo Concursado</t>
        </is>
      </c>
      <c r="D2046" s="4" t="inlineStr">
        <is>
          <t>SEC-ADM</t>
        </is>
      </c>
      <c r="E2046" s="6" t="n">
        <v>3353.39</v>
      </c>
      <c r="F2046" s="6">
        <f>E2046*0.22</f>
        <v/>
      </c>
      <c r="G2046" s="6">
        <f>E2046+F2046</f>
        <v/>
      </c>
      <c r="H2046" s="10" t="n">
        <v>10</v>
      </c>
      <c r="I2046" s="7">
        <f>H2046/(180*0.714)</f>
        <v/>
      </c>
    </row>
    <row r="2047">
      <c r="A2047" s="4" t="inlineStr">
        <is>
          <t>SERV-12043</t>
        </is>
      </c>
      <c r="B2047" s="5" t="inlineStr">
        <is>
          <t>Assistente Administrativo / Operacional</t>
        </is>
      </c>
      <c r="C2047" s="4" t="inlineStr">
        <is>
          <t>Efetivo Concursado</t>
        </is>
      </c>
      <c r="D2047" s="4" t="inlineStr">
        <is>
          <t>SEC-ADM</t>
        </is>
      </c>
      <c r="E2047" s="6" t="n">
        <v>3085.34</v>
      </c>
      <c r="F2047" s="6">
        <f>E2047*0.22</f>
        <v/>
      </c>
      <c r="G2047" s="6">
        <f>E2047+F2047</f>
        <v/>
      </c>
      <c r="H2047" s="10" t="n">
        <v>7</v>
      </c>
      <c r="I2047" s="7">
        <f>H2047/(180*0.714)</f>
        <v/>
      </c>
    </row>
    <row r="2048">
      <c r="A2048" s="4" t="inlineStr">
        <is>
          <t>SERV-12044</t>
        </is>
      </c>
      <c r="B2048" s="5" t="inlineStr">
        <is>
          <t>Assistente Administrativo / Operacional</t>
        </is>
      </c>
      <c r="C2048" s="4" t="inlineStr">
        <is>
          <t>Efetivo Concursado</t>
        </is>
      </c>
      <c r="D2048" s="4" t="inlineStr">
        <is>
          <t>SEC-ADM</t>
        </is>
      </c>
      <c r="E2048" s="6" t="n">
        <v>3055.79</v>
      </c>
      <c r="F2048" s="6">
        <f>E2048*0.22</f>
        <v/>
      </c>
      <c r="G2048" s="6">
        <f>E2048+F2048</f>
        <v/>
      </c>
      <c r="H2048" s="10" t="n">
        <v>5</v>
      </c>
      <c r="I2048" s="7">
        <f>H2048/(180*0.714)</f>
        <v/>
      </c>
    </row>
    <row r="2049">
      <c r="A2049" s="4" t="inlineStr">
        <is>
          <t>SERV-12045</t>
        </is>
      </c>
      <c r="B2049" s="5" t="inlineStr">
        <is>
          <t>Assistente Administrativo / Operacional</t>
        </is>
      </c>
      <c r="C2049" s="4" t="inlineStr">
        <is>
          <t>Efetivo Concursado</t>
        </is>
      </c>
      <c r="D2049" s="4" t="inlineStr">
        <is>
          <t>SEC-ADM</t>
        </is>
      </c>
      <c r="E2049" s="6" t="n">
        <v>3400.82</v>
      </c>
      <c r="F2049" s="6">
        <f>E2049*0.22</f>
        <v/>
      </c>
      <c r="G2049" s="6">
        <f>E2049+F2049</f>
        <v/>
      </c>
      <c r="H2049" s="10" t="n">
        <v>12</v>
      </c>
      <c r="I2049" s="7">
        <f>H2049/(180*0.714)</f>
        <v/>
      </c>
    </row>
    <row r="2050">
      <c r="A2050" s="4" t="inlineStr">
        <is>
          <t>SERV-12046</t>
        </is>
      </c>
      <c r="B2050" s="5" t="inlineStr">
        <is>
          <t>Assistente Administrativo / Operacional</t>
        </is>
      </c>
      <c r="C2050" s="4" t="inlineStr">
        <is>
          <t>Efetivo Concursado</t>
        </is>
      </c>
      <c r="D2050" s="4" t="inlineStr">
        <is>
          <t>SEC-ADM</t>
        </is>
      </c>
      <c r="E2050" s="6" t="n">
        <v>2864.55</v>
      </c>
      <c r="F2050" s="6">
        <f>E2050*0.22</f>
        <v/>
      </c>
      <c r="G2050" s="6">
        <f>E2050+F2050</f>
        <v/>
      </c>
      <c r="H2050" s="10" t="n">
        <v>13</v>
      </c>
      <c r="I2050" s="7">
        <f>H2050/(180*0.714)</f>
        <v/>
      </c>
    </row>
    <row r="2051">
      <c r="A2051" s="4" t="inlineStr">
        <is>
          <t>SERV-12047</t>
        </is>
      </c>
      <c r="B2051" s="5" t="inlineStr">
        <is>
          <t>Assistente Administrativo / Operacional</t>
        </is>
      </c>
      <c r="C2051" s="4" t="inlineStr">
        <is>
          <t>Efetivo Concursado</t>
        </is>
      </c>
      <c r="D2051" s="4" t="inlineStr">
        <is>
          <t>SEC-ADM</t>
        </is>
      </c>
      <c r="E2051" s="6" t="n">
        <v>3117.1</v>
      </c>
      <c r="F2051" s="6">
        <f>E2051*0.22</f>
        <v/>
      </c>
      <c r="G2051" s="6">
        <f>E2051+F2051</f>
        <v/>
      </c>
      <c r="H2051" s="10" t="n">
        <v>8</v>
      </c>
      <c r="I2051" s="7">
        <f>H2051/(180*0.714)</f>
        <v/>
      </c>
    </row>
    <row r="2052">
      <c r="A2052" s="4" t="inlineStr">
        <is>
          <t>SERV-12048</t>
        </is>
      </c>
      <c r="B2052" s="5" t="inlineStr">
        <is>
          <t>Assistente Administrativo / Operacional</t>
        </is>
      </c>
      <c r="C2052" s="4" t="inlineStr">
        <is>
          <t>Efetivo Concursado</t>
        </is>
      </c>
      <c r="D2052" s="4" t="inlineStr">
        <is>
          <t>SEC-ADM</t>
        </is>
      </c>
      <c r="E2052" s="6" t="n">
        <v>2973.58</v>
      </c>
      <c r="F2052" s="6">
        <f>E2052*0.22</f>
        <v/>
      </c>
      <c r="G2052" s="6">
        <f>E2052+F2052</f>
        <v/>
      </c>
      <c r="H2052" s="10" t="n">
        <v>4</v>
      </c>
      <c r="I2052" s="7">
        <f>H2052/(180*0.714)</f>
        <v/>
      </c>
    </row>
    <row r="2053">
      <c r="A2053" s="4" t="inlineStr">
        <is>
          <t>SERV-12049</t>
        </is>
      </c>
      <c r="B2053" s="5" t="inlineStr">
        <is>
          <t>Assistente Administrativo / Operacional</t>
        </is>
      </c>
      <c r="C2053" s="4" t="inlineStr">
        <is>
          <t>Efetivo Concursado</t>
        </is>
      </c>
      <c r="D2053" s="4" t="inlineStr">
        <is>
          <t>SEC-ADM</t>
        </is>
      </c>
      <c r="E2053" s="6" t="n">
        <v>3378.73</v>
      </c>
      <c r="F2053" s="6">
        <f>E2053*0.22</f>
        <v/>
      </c>
      <c r="G2053" s="6">
        <f>E2053+F2053</f>
        <v/>
      </c>
      <c r="H2053" s="10" t="n">
        <v>13</v>
      </c>
      <c r="I2053" s="7">
        <f>H2053/(180*0.714)</f>
        <v/>
      </c>
    </row>
    <row r="2054">
      <c r="A2054" s="4" t="inlineStr">
        <is>
          <t>SERV-12050</t>
        </is>
      </c>
      <c r="B2054" s="5" t="inlineStr">
        <is>
          <t>Assistente Administrativo / Operacional</t>
        </is>
      </c>
      <c r="C2054" s="4" t="inlineStr">
        <is>
          <t>Efetivo Concursado</t>
        </is>
      </c>
      <c r="D2054" s="4" t="inlineStr">
        <is>
          <t>SEC-ADM</t>
        </is>
      </c>
      <c r="E2054" s="6" t="n">
        <v>3134.39</v>
      </c>
      <c r="F2054" s="6">
        <f>E2054*0.22</f>
        <v/>
      </c>
      <c r="G2054" s="6">
        <f>E2054+F2054</f>
        <v/>
      </c>
      <c r="H2054" s="10" t="n">
        <v>9</v>
      </c>
      <c r="I2054" s="7">
        <f>H2054/(180*0.714)</f>
        <v/>
      </c>
    </row>
    <row r="2055">
      <c r="A2055" s="4" t="inlineStr">
        <is>
          <t>SERV-12051</t>
        </is>
      </c>
      <c r="B2055" s="5" t="inlineStr">
        <is>
          <t>Assistente Administrativo / Operacional</t>
        </is>
      </c>
      <c r="C2055" s="4" t="inlineStr">
        <is>
          <t>Efetivo Concursado</t>
        </is>
      </c>
      <c r="D2055" s="4" t="inlineStr">
        <is>
          <t>SEC-ADM</t>
        </is>
      </c>
      <c r="E2055" s="6" t="n">
        <v>2879.74</v>
      </c>
      <c r="F2055" s="6">
        <f>E2055*0.22</f>
        <v/>
      </c>
      <c r="G2055" s="6">
        <f>E2055+F2055</f>
        <v/>
      </c>
      <c r="H2055" s="10" t="n">
        <v>12</v>
      </c>
      <c r="I2055" s="7">
        <f>H2055/(180*0.714)</f>
        <v/>
      </c>
    </row>
    <row r="2056">
      <c r="A2056" s="4" t="inlineStr">
        <is>
          <t>SERV-12052</t>
        </is>
      </c>
      <c r="B2056" s="5" t="inlineStr">
        <is>
          <t>Assistente Administrativo / Operacional</t>
        </is>
      </c>
      <c r="C2056" s="4" t="inlineStr">
        <is>
          <t>Efetivo Concursado</t>
        </is>
      </c>
      <c r="D2056" s="4" t="inlineStr">
        <is>
          <t>SEC-ADM</t>
        </is>
      </c>
      <c r="E2056" s="6" t="n">
        <v>3309.59</v>
      </c>
      <c r="F2056" s="6">
        <f>E2056*0.22</f>
        <v/>
      </c>
      <c r="G2056" s="6">
        <f>E2056+F2056</f>
        <v/>
      </c>
      <c r="H2056" s="10" t="n">
        <v>8</v>
      </c>
      <c r="I2056" s="7">
        <f>H2056/(180*0.714)</f>
        <v/>
      </c>
    </row>
    <row r="2057">
      <c r="A2057" s="4" t="inlineStr">
        <is>
          <t>SERV-12053</t>
        </is>
      </c>
      <c r="B2057" s="5" t="inlineStr">
        <is>
          <t>Assistente Administrativo / Operacional</t>
        </is>
      </c>
      <c r="C2057" s="4" t="inlineStr">
        <is>
          <t>Efetivo Concursado</t>
        </is>
      </c>
      <c r="D2057" s="4" t="inlineStr">
        <is>
          <t>SEC-ADM</t>
        </is>
      </c>
      <c r="E2057" s="6" t="n">
        <v>3326.43</v>
      </c>
      <c r="F2057" s="6">
        <f>E2057*0.22</f>
        <v/>
      </c>
      <c r="G2057" s="6">
        <f>E2057+F2057</f>
        <v/>
      </c>
      <c r="H2057" s="10" t="n">
        <v>8</v>
      </c>
      <c r="I2057" s="7">
        <f>H2057/(180*0.714)</f>
        <v/>
      </c>
    </row>
    <row r="2058">
      <c r="A2058" s="4" t="inlineStr">
        <is>
          <t>SERV-12054</t>
        </is>
      </c>
      <c r="B2058" s="5" t="inlineStr">
        <is>
          <t>Assistente Administrativo / Operacional</t>
        </is>
      </c>
      <c r="C2058" s="4" t="inlineStr">
        <is>
          <t>Efetivo Concursado</t>
        </is>
      </c>
      <c r="D2058" s="4" t="inlineStr">
        <is>
          <t>SEC-ADM</t>
        </is>
      </c>
      <c r="E2058" s="6" t="n">
        <v>2870.91</v>
      </c>
      <c r="F2058" s="6">
        <f>E2058*0.22</f>
        <v/>
      </c>
      <c r="G2058" s="6">
        <f>E2058+F2058</f>
        <v/>
      </c>
      <c r="H2058" s="10" t="n">
        <v>7</v>
      </c>
      <c r="I2058" s="7">
        <f>H2058/(180*0.714)</f>
        <v/>
      </c>
    </row>
    <row r="2059">
      <c r="A2059" s="4" t="inlineStr">
        <is>
          <t>SERV-12055</t>
        </is>
      </c>
      <c r="B2059" s="5" t="inlineStr">
        <is>
          <t>Assistente Administrativo / Operacional</t>
        </is>
      </c>
      <c r="C2059" s="4" t="inlineStr">
        <is>
          <t>Efetivo Concursado</t>
        </is>
      </c>
      <c r="D2059" s="4" t="inlineStr">
        <is>
          <t>SEC-ADM</t>
        </is>
      </c>
      <c r="E2059" s="6" t="n">
        <v>3156.31</v>
      </c>
      <c r="F2059" s="6">
        <f>E2059*0.22</f>
        <v/>
      </c>
      <c r="G2059" s="6">
        <f>E2059+F2059</f>
        <v/>
      </c>
      <c r="H2059" s="10" t="n">
        <v>8</v>
      </c>
      <c r="I2059" s="7">
        <f>H2059/(180*0.714)</f>
        <v/>
      </c>
    </row>
    <row r="2060">
      <c r="A2060" s="4" t="inlineStr">
        <is>
          <t>SERV-12056</t>
        </is>
      </c>
      <c r="B2060" s="5" t="inlineStr">
        <is>
          <t>Assistente Administrativo / Operacional</t>
        </is>
      </c>
      <c r="C2060" s="4" t="inlineStr">
        <is>
          <t>Efetivo Concursado</t>
        </is>
      </c>
      <c r="D2060" s="4" t="inlineStr">
        <is>
          <t>SEC-ADM</t>
        </is>
      </c>
      <c r="E2060" s="6" t="n">
        <v>3416.64</v>
      </c>
      <c r="F2060" s="6">
        <f>E2060*0.22</f>
        <v/>
      </c>
      <c r="G2060" s="6">
        <f>E2060+F2060</f>
        <v/>
      </c>
      <c r="H2060" s="10" t="n">
        <v>11</v>
      </c>
      <c r="I2060" s="7">
        <f>H2060/(180*0.714)</f>
        <v/>
      </c>
    </row>
    <row r="2061">
      <c r="A2061" s="4" t="inlineStr">
        <is>
          <t>SERV-12057</t>
        </is>
      </c>
      <c r="B2061" s="5" t="inlineStr">
        <is>
          <t>Assistente Administrativo / Operacional</t>
        </is>
      </c>
      <c r="C2061" s="4" t="inlineStr">
        <is>
          <t>Efetivo Concursado</t>
        </is>
      </c>
      <c r="D2061" s="4" t="inlineStr">
        <is>
          <t>SEC-ADM</t>
        </is>
      </c>
      <c r="E2061" s="6" t="n">
        <v>3393.73</v>
      </c>
      <c r="F2061" s="6">
        <f>E2061*0.22</f>
        <v/>
      </c>
      <c r="G2061" s="6">
        <f>E2061+F2061</f>
        <v/>
      </c>
      <c r="H2061" s="10" t="n">
        <v>4</v>
      </c>
      <c r="I2061" s="7">
        <f>H2061/(180*0.714)</f>
        <v/>
      </c>
    </row>
    <row r="2062">
      <c r="A2062" s="4" t="inlineStr">
        <is>
          <t>SERV-12058</t>
        </is>
      </c>
      <c r="B2062" s="5" t="inlineStr">
        <is>
          <t>Assistente Administrativo / Operacional</t>
        </is>
      </c>
      <c r="C2062" s="4" t="inlineStr">
        <is>
          <t>Efetivo Concursado</t>
        </is>
      </c>
      <c r="D2062" s="4" t="inlineStr">
        <is>
          <t>SEC-ADM</t>
        </is>
      </c>
      <c r="E2062" s="6" t="n">
        <v>3403.84</v>
      </c>
      <c r="F2062" s="6">
        <f>E2062*0.22</f>
        <v/>
      </c>
      <c r="G2062" s="6">
        <f>E2062+F2062</f>
        <v/>
      </c>
      <c r="H2062" s="10" t="n">
        <v>13</v>
      </c>
      <c r="I2062" s="7">
        <f>H2062/(180*0.714)</f>
        <v/>
      </c>
    </row>
    <row r="2063">
      <c r="A2063" s="4" t="inlineStr">
        <is>
          <t>SERV-12059</t>
        </is>
      </c>
      <c r="B2063" s="5" t="inlineStr">
        <is>
          <t>Assistente Administrativo / Operacional</t>
        </is>
      </c>
      <c r="C2063" s="4" t="inlineStr">
        <is>
          <t>Efetivo Concursado</t>
        </is>
      </c>
      <c r="D2063" s="4" t="inlineStr">
        <is>
          <t>SEC-ADM</t>
        </is>
      </c>
      <c r="E2063" s="6" t="n">
        <v>2944.9</v>
      </c>
      <c r="F2063" s="6">
        <f>E2063*0.22</f>
        <v/>
      </c>
      <c r="G2063" s="6">
        <f>E2063+F2063</f>
        <v/>
      </c>
      <c r="H2063" s="10" t="n">
        <v>3</v>
      </c>
      <c r="I2063" s="7">
        <f>H2063/(180*0.714)</f>
        <v/>
      </c>
    </row>
    <row r="2064">
      <c r="A2064" s="4" t="inlineStr">
        <is>
          <t>SERV-12060</t>
        </is>
      </c>
      <c r="B2064" s="5" t="inlineStr">
        <is>
          <t>Assistente Administrativo / Operacional</t>
        </is>
      </c>
      <c r="C2064" s="4" t="inlineStr">
        <is>
          <t>Efetivo Concursado</t>
        </is>
      </c>
      <c r="D2064" s="4" t="inlineStr">
        <is>
          <t>SEC-ADM</t>
        </is>
      </c>
      <c r="E2064" s="6" t="n">
        <v>3314.2</v>
      </c>
      <c r="F2064" s="6">
        <f>E2064*0.22</f>
        <v/>
      </c>
      <c r="G2064" s="6">
        <f>E2064+F2064</f>
        <v/>
      </c>
      <c r="H2064" s="10" t="n">
        <v>3</v>
      </c>
      <c r="I2064" s="7">
        <f>H2064/(180*0.714)</f>
        <v/>
      </c>
    </row>
    <row r="2065">
      <c r="A2065" s="4" t="inlineStr">
        <is>
          <t>SERV-12061</t>
        </is>
      </c>
      <c r="B2065" s="5" t="inlineStr">
        <is>
          <t>Assistente Administrativo / Operacional</t>
        </is>
      </c>
      <c r="C2065" s="4" t="inlineStr">
        <is>
          <t>Efetivo Concursado</t>
        </is>
      </c>
      <c r="D2065" s="4" t="inlineStr">
        <is>
          <t>SEC-ADM</t>
        </is>
      </c>
      <c r="E2065" s="6" t="n">
        <v>3270.35</v>
      </c>
      <c r="F2065" s="6">
        <f>E2065*0.22</f>
        <v/>
      </c>
      <c r="G2065" s="6">
        <f>E2065+F2065</f>
        <v/>
      </c>
      <c r="H2065" s="10" t="n">
        <v>9</v>
      </c>
      <c r="I2065" s="7">
        <f>H2065/(180*0.714)</f>
        <v/>
      </c>
    </row>
    <row r="2066">
      <c r="A2066" s="4" t="inlineStr">
        <is>
          <t>SERV-12062</t>
        </is>
      </c>
      <c r="B2066" s="5" t="inlineStr">
        <is>
          <t>Assistente Administrativo / Operacional</t>
        </is>
      </c>
      <c r="C2066" s="4" t="inlineStr">
        <is>
          <t>Efetivo Concursado</t>
        </is>
      </c>
      <c r="D2066" s="4" t="inlineStr">
        <is>
          <t>SEC-ADM</t>
        </is>
      </c>
      <c r="E2066" s="6" t="n">
        <v>3320.5</v>
      </c>
      <c r="F2066" s="6">
        <f>E2066*0.22</f>
        <v/>
      </c>
      <c r="G2066" s="6">
        <f>E2066+F2066</f>
        <v/>
      </c>
      <c r="H2066" s="10" t="n">
        <v>5</v>
      </c>
      <c r="I2066" s="7">
        <f>H2066/(180*0.714)</f>
        <v/>
      </c>
    </row>
    <row r="2067">
      <c r="A2067" s="4" t="inlineStr">
        <is>
          <t>SERV-12063</t>
        </is>
      </c>
      <c r="B2067" s="5" t="inlineStr">
        <is>
          <t>Assistente Administrativo / Operacional</t>
        </is>
      </c>
      <c r="C2067" s="4" t="inlineStr">
        <is>
          <t>Efetivo Concursado</t>
        </is>
      </c>
      <c r="D2067" s="4" t="inlineStr">
        <is>
          <t>SEC-ADM</t>
        </is>
      </c>
      <c r="E2067" s="6" t="n">
        <v>3446.82</v>
      </c>
      <c r="F2067" s="6">
        <f>E2067*0.22</f>
        <v/>
      </c>
      <c r="G2067" s="6">
        <f>E2067+F2067</f>
        <v/>
      </c>
      <c r="H2067" s="10" t="n">
        <v>12</v>
      </c>
      <c r="I2067" s="7">
        <f>H2067/(180*0.714)</f>
        <v/>
      </c>
    </row>
    <row r="2068">
      <c r="A2068" s="4" t="inlineStr">
        <is>
          <t>SERV-12064</t>
        </is>
      </c>
      <c r="B2068" s="5" t="inlineStr">
        <is>
          <t>Assistente Administrativo / Operacional</t>
        </is>
      </c>
      <c r="C2068" s="4" t="inlineStr">
        <is>
          <t>Efetivo Concursado</t>
        </is>
      </c>
      <c r="D2068" s="4" t="inlineStr">
        <is>
          <t>SEC-ADM</t>
        </is>
      </c>
      <c r="E2068" s="6" t="n">
        <v>3021.12</v>
      </c>
      <c r="F2068" s="6">
        <f>E2068*0.22</f>
        <v/>
      </c>
      <c r="G2068" s="6">
        <f>E2068+F2068</f>
        <v/>
      </c>
      <c r="H2068" s="10" t="n">
        <v>4</v>
      </c>
      <c r="I2068" s="7">
        <f>H2068/(180*0.714)</f>
        <v/>
      </c>
    </row>
    <row r="2069">
      <c r="A2069" s="4" t="inlineStr">
        <is>
          <t>SERV-12065</t>
        </is>
      </c>
      <c r="B2069" s="5" t="inlineStr">
        <is>
          <t>Assistente Administrativo / Operacional</t>
        </is>
      </c>
      <c r="C2069" s="4" t="inlineStr">
        <is>
          <t>Efetivo Concursado</t>
        </is>
      </c>
      <c r="D2069" s="4" t="inlineStr">
        <is>
          <t>SEC-ADM</t>
        </is>
      </c>
      <c r="E2069" s="6" t="n">
        <v>3024.44</v>
      </c>
      <c r="F2069" s="6">
        <f>E2069*0.22</f>
        <v/>
      </c>
      <c r="G2069" s="6">
        <f>E2069+F2069</f>
        <v/>
      </c>
      <c r="H2069" s="10" t="n">
        <v>9</v>
      </c>
      <c r="I2069" s="7">
        <f>H2069/(180*0.714)</f>
        <v/>
      </c>
    </row>
    <row r="2070">
      <c r="A2070" s="4" t="inlineStr">
        <is>
          <t>SERV-12066</t>
        </is>
      </c>
      <c r="B2070" s="5" t="inlineStr">
        <is>
          <t>Assistente Administrativo / Operacional</t>
        </is>
      </c>
      <c r="C2070" s="4" t="inlineStr">
        <is>
          <t>Efetivo Concursado</t>
        </is>
      </c>
      <c r="D2070" s="4" t="inlineStr">
        <is>
          <t>SEC-ADM</t>
        </is>
      </c>
      <c r="E2070" s="6" t="n">
        <v>2969.64</v>
      </c>
      <c r="F2070" s="6">
        <f>E2070*0.22</f>
        <v/>
      </c>
      <c r="G2070" s="6">
        <f>E2070+F2070</f>
        <v/>
      </c>
      <c r="H2070" s="10" t="n">
        <v>11</v>
      </c>
      <c r="I2070" s="7">
        <f>H2070/(180*0.714)</f>
        <v/>
      </c>
    </row>
    <row r="2071">
      <c r="A2071" s="4" t="inlineStr">
        <is>
          <t>SERV-12067</t>
        </is>
      </c>
      <c r="B2071" s="5" t="inlineStr">
        <is>
          <t>Assistente Administrativo / Operacional</t>
        </is>
      </c>
      <c r="C2071" s="4" t="inlineStr">
        <is>
          <t>Efetivo Concursado</t>
        </is>
      </c>
      <c r="D2071" s="4" t="inlineStr">
        <is>
          <t>SEC-ADM</t>
        </is>
      </c>
      <c r="E2071" s="6" t="n">
        <v>3325.44</v>
      </c>
      <c r="F2071" s="6">
        <f>E2071*0.22</f>
        <v/>
      </c>
      <c r="G2071" s="6">
        <f>E2071+F2071</f>
        <v/>
      </c>
      <c r="H2071" s="10" t="n">
        <v>8</v>
      </c>
      <c r="I2071" s="7">
        <f>H2071/(180*0.714)</f>
        <v/>
      </c>
    </row>
    <row r="2072">
      <c r="A2072" s="4" t="inlineStr">
        <is>
          <t>SERV-12068</t>
        </is>
      </c>
      <c r="B2072" s="5" t="inlineStr">
        <is>
          <t>Assistente Administrativo / Operacional</t>
        </is>
      </c>
      <c r="C2072" s="4" t="inlineStr">
        <is>
          <t>Efetivo Concursado</t>
        </is>
      </c>
      <c r="D2072" s="4" t="inlineStr">
        <is>
          <t>SEC-ADM</t>
        </is>
      </c>
      <c r="E2072" s="6" t="n">
        <v>2876.55</v>
      </c>
      <c r="F2072" s="6">
        <f>E2072*0.22</f>
        <v/>
      </c>
      <c r="G2072" s="6">
        <f>E2072+F2072</f>
        <v/>
      </c>
      <c r="H2072" s="10" t="n">
        <v>3</v>
      </c>
      <c r="I2072" s="7">
        <f>H2072/(180*0.714)</f>
        <v/>
      </c>
    </row>
    <row r="2073">
      <c r="A2073" s="4" t="inlineStr">
        <is>
          <t>SERV-12069</t>
        </is>
      </c>
      <c r="B2073" s="5" t="inlineStr">
        <is>
          <t>Assistente Administrativo / Operacional</t>
        </is>
      </c>
      <c r="C2073" s="4" t="inlineStr">
        <is>
          <t>Efetivo Concursado</t>
        </is>
      </c>
      <c r="D2073" s="4" t="inlineStr">
        <is>
          <t>SEC-ADM</t>
        </is>
      </c>
      <c r="E2073" s="6" t="n">
        <v>3397.3</v>
      </c>
      <c r="F2073" s="6">
        <f>E2073*0.22</f>
        <v/>
      </c>
      <c r="G2073" s="6">
        <f>E2073+F2073</f>
        <v/>
      </c>
      <c r="H2073" s="10" t="n">
        <v>9</v>
      </c>
      <c r="I2073" s="7">
        <f>H2073/(180*0.714)</f>
        <v/>
      </c>
    </row>
    <row r="2074">
      <c r="A2074" s="4" t="inlineStr">
        <is>
          <t>SERV-12070</t>
        </is>
      </c>
      <c r="B2074" s="5" t="inlineStr">
        <is>
          <t>Assistente Administrativo / Operacional</t>
        </is>
      </c>
      <c r="C2074" s="4" t="inlineStr">
        <is>
          <t>Efetivo Concursado</t>
        </is>
      </c>
      <c r="D2074" s="4" t="inlineStr">
        <is>
          <t>SEC-ADM</t>
        </is>
      </c>
      <c r="E2074" s="6" t="n">
        <v>3418.5</v>
      </c>
      <c r="F2074" s="6">
        <f>E2074*0.22</f>
        <v/>
      </c>
      <c r="G2074" s="6">
        <f>E2074+F2074</f>
        <v/>
      </c>
      <c r="H2074" s="10" t="n">
        <v>11</v>
      </c>
      <c r="I2074" s="7">
        <f>H2074/(180*0.714)</f>
        <v/>
      </c>
    </row>
    <row r="2075">
      <c r="A2075" s="4" t="inlineStr">
        <is>
          <t>SERV-12071</t>
        </is>
      </c>
      <c r="B2075" s="5" t="inlineStr">
        <is>
          <t>Assistente Administrativo / Operacional</t>
        </is>
      </c>
      <c r="C2075" s="4" t="inlineStr">
        <is>
          <t>Efetivo Concursado</t>
        </is>
      </c>
      <c r="D2075" s="4" t="inlineStr">
        <is>
          <t>SEC-ADM</t>
        </is>
      </c>
      <c r="E2075" s="6" t="n">
        <v>3376.45</v>
      </c>
      <c r="F2075" s="6">
        <f>E2075*0.22</f>
        <v/>
      </c>
      <c r="G2075" s="6">
        <f>E2075+F2075</f>
        <v/>
      </c>
      <c r="H2075" s="10" t="n">
        <v>5</v>
      </c>
      <c r="I2075" s="7">
        <f>H2075/(180*0.714)</f>
        <v/>
      </c>
    </row>
    <row r="2076">
      <c r="A2076" s="4" t="inlineStr">
        <is>
          <t>SERV-12072</t>
        </is>
      </c>
      <c r="B2076" s="5" t="inlineStr">
        <is>
          <t>Assistente Administrativo / Operacional</t>
        </is>
      </c>
      <c r="C2076" s="4" t="inlineStr">
        <is>
          <t>Efetivo Concursado</t>
        </is>
      </c>
      <c r="D2076" s="4" t="inlineStr">
        <is>
          <t>SEC-ADM</t>
        </is>
      </c>
      <c r="E2076" s="6" t="n">
        <v>3233.47</v>
      </c>
      <c r="F2076" s="6">
        <f>E2076*0.22</f>
        <v/>
      </c>
      <c r="G2076" s="6">
        <f>E2076+F2076</f>
        <v/>
      </c>
      <c r="H2076" s="10" t="n">
        <v>6</v>
      </c>
      <c r="I2076" s="7">
        <f>H2076/(180*0.714)</f>
        <v/>
      </c>
    </row>
    <row r="2077">
      <c r="A2077" s="4" t="inlineStr">
        <is>
          <t>SERV-12073</t>
        </is>
      </c>
      <c r="B2077" s="5" t="inlineStr">
        <is>
          <t>Assistente Administrativo / Operacional</t>
        </is>
      </c>
      <c r="C2077" s="4" t="inlineStr">
        <is>
          <t>Efetivo Concursado</t>
        </is>
      </c>
      <c r="D2077" s="4" t="inlineStr">
        <is>
          <t>SEC-ADM</t>
        </is>
      </c>
      <c r="E2077" s="6" t="n">
        <v>2869.95</v>
      </c>
      <c r="F2077" s="6">
        <f>E2077*0.22</f>
        <v/>
      </c>
      <c r="G2077" s="6">
        <f>E2077+F2077</f>
        <v/>
      </c>
      <c r="H2077" s="10" t="n">
        <v>6</v>
      </c>
      <c r="I2077" s="7">
        <f>H2077/(180*0.714)</f>
        <v/>
      </c>
    </row>
    <row r="2078">
      <c r="A2078" s="4" t="inlineStr">
        <is>
          <t>SERV-12074</t>
        </is>
      </c>
      <c r="B2078" s="5" t="inlineStr">
        <is>
          <t>Assistente Administrativo / Operacional</t>
        </is>
      </c>
      <c r="C2078" s="4" t="inlineStr">
        <is>
          <t>Efetivo Concursado</t>
        </is>
      </c>
      <c r="D2078" s="4" t="inlineStr">
        <is>
          <t>SEC-ADM</t>
        </is>
      </c>
      <c r="E2078" s="6" t="n">
        <v>2919.01</v>
      </c>
      <c r="F2078" s="6">
        <f>E2078*0.22</f>
        <v/>
      </c>
      <c r="G2078" s="6">
        <f>E2078+F2078</f>
        <v/>
      </c>
      <c r="H2078" s="10" t="n">
        <v>13</v>
      </c>
      <c r="I2078" s="7">
        <f>H2078/(180*0.714)</f>
        <v/>
      </c>
    </row>
    <row r="2079">
      <c r="A2079" s="4" t="inlineStr">
        <is>
          <t>SERV-12075</t>
        </is>
      </c>
      <c r="B2079" s="5" t="inlineStr">
        <is>
          <t>Assistente Administrativo / Operacional</t>
        </is>
      </c>
      <c r="C2079" s="4" t="inlineStr">
        <is>
          <t>Efetivo Concursado</t>
        </is>
      </c>
      <c r="D2079" s="4" t="inlineStr">
        <is>
          <t>SEC-ADM</t>
        </is>
      </c>
      <c r="E2079" s="6" t="n">
        <v>3362.7</v>
      </c>
      <c r="F2079" s="6">
        <f>E2079*0.22</f>
        <v/>
      </c>
      <c r="G2079" s="6">
        <f>E2079+F2079</f>
        <v/>
      </c>
      <c r="H2079" s="10" t="n">
        <v>7</v>
      </c>
      <c r="I2079" s="7">
        <f>H2079/(180*0.714)</f>
        <v/>
      </c>
    </row>
    <row r="2080">
      <c r="A2080" s="4" t="inlineStr">
        <is>
          <t>SERV-12076</t>
        </is>
      </c>
      <c r="B2080" s="5" t="inlineStr">
        <is>
          <t>Assistente Administrativo / Operacional</t>
        </is>
      </c>
      <c r="C2080" s="4" t="inlineStr">
        <is>
          <t>Efetivo Concursado</t>
        </is>
      </c>
      <c r="D2080" s="4" t="inlineStr">
        <is>
          <t>SEC-ADM</t>
        </is>
      </c>
      <c r="E2080" s="6" t="n">
        <v>2974.39</v>
      </c>
      <c r="F2080" s="6">
        <f>E2080*0.22</f>
        <v/>
      </c>
      <c r="G2080" s="6">
        <f>E2080+F2080</f>
        <v/>
      </c>
      <c r="H2080" s="10" t="n">
        <v>9</v>
      </c>
      <c r="I2080" s="7">
        <f>H2080/(180*0.714)</f>
        <v/>
      </c>
    </row>
    <row r="2081">
      <c r="A2081" s="4" t="inlineStr">
        <is>
          <t>SERV-12077</t>
        </is>
      </c>
      <c r="B2081" s="5" t="inlineStr">
        <is>
          <t>Assistente Administrativo / Operacional</t>
        </is>
      </c>
      <c r="C2081" s="4" t="inlineStr">
        <is>
          <t>Efetivo Concursado</t>
        </is>
      </c>
      <c r="D2081" s="4" t="inlineStr">
        <is>
          <t>SEC-ADM</t>
        </is>
      </c>
      <c r="E2081" s="6" t="n">
        <v>3444.03</v>
      </c>
      <c r="F2081" s="6">
        <f>E2081*0.22</f>
        <v/>
      </c>
      <c r="G2081" s="6">
        <f>E2081+F2081</f>
        <v/>
      </c>
      <c r="H2081" s="10" t="n">
        <v>8</v>
      </c>
      <c r="I2081" s="7">
        <f>H2081/(180*0.714)</f>
        <v/>
      </c>
    </row>
    <row r="2082">
      <c r="A2082" s="4" t="inlineStr">
        <is>
          <t>SERV-12078</t>
        </is>
      </c>
      <c r="B2082" s="5" t="inlineStr">
        <is>
          <t>Assistente Administrativo / Operacional</t>
        </is>
      </c>
      <c r="C2082" s="4" t="inlineStr">
        <is>
          <t>Efetivo Concursado</t>
        </is>
      </c>
      <c r="D2082" s="4" t="inlineStr">
        <is>
          <t>SEC-ADM</t>
        </is>
      </c>
      <c r="E2082" s="6" t="n">
        <v>3362.36</v>
      </c>
      <c r="F2082" s="6">
        <f>E2082*0.22</f>
        <v/>
      </c>
      <c r="G2082" s="6">
        <f>E2082+F2082</f>
        <v/>
      </c>
      <c r="H2082" s="10" t="n">
        <v>14</v>
      </c>
      <c r="I2082" s="7">
        <f>H2082/(180*0.714)</f>
        <v/>
      </c>
    </row>
    <row r="2083">
      <c r="A2083" s="4" t="inlineStr">
        <is>
          <t>SERV-12079</t>
        </is>
      </c>
      <c r="B2083" s="5" t="inlineStr">
        <is>
          <t>Assistente Administrativo / Operacional</t>
        </is>
      </c>
      <c r="C2083" s="4" t="inlineStr">
        <is>
          <t>Efetivo Concursado</t>
        </is>
      </c>
      <c r="D2083" s="4" t="inlineStr">
        <is>
          <t>SEC-ADM</t>
        </is>
      </c>
      <c r="E2083" s="6" t="n">
        <v>3011</v>
      </c>
      <c r="F2083" s="6">
        <f>E2083*0.22</f>
        <v/>
      </c>
      <c r="G2083" s="6">
        <f>E2083+F2083</f>
        <v/>
      </c>
      <c r="H2083" s="10" t="n">
        <v>5</v>
      </c>
      <c r="I2083" s="7">
        <f>H2083/(180*0.714)</f>
        <v/>
      </c>
    </row>
    <row r="2084">
      <c r="A2084" s="4" t="inlineStr">
        <is>
          <t>SERV-12080</t>
        </is>
      </c>
      <c r="B2084" s="5" t="inlineStr">
        <is>
          <t>Assistente Administrativo / Operacional</t>
        </is>
      </c>
      <c r="C2084" s="4" t="inlineStr">
        <is>
          <t>Efetivo Concursado</t>
        </is>
      </c>
      <c r="D2084" s="4" t="inlineStr">
        <is>
          <t>SEC-ADM</t>
        </is>
      </c>
      <c r="E2084" s="6" t="n">
        <v>2964.41</v>
      </c>
      <c r="F2084" s="6">
        <f>E2084*0.22</f>
        <v/>
      </c>
      <c r="G2084" s="6">
        <f>E2084+F2084</f>
        <v/>
      </c>
      <c r="H2084" s="10" t="n">
        <v>4</v>
      </c>
      <c r="I2084" s="7">
        <f>H2084/(180*0.714)</f>
        <v/>
      </c>
    </row>
    <row r="2085">
      <c r="A2085" s="4" t="inlineStr">
        <is>
          <t>SERV-12081</t>
        </is>
      </c>
      <c r="B2085" s="5" t="inlineStr">
        <is>
          <t>Assistente Administrativo / Operacional</t>
        </is>
      </c>
      <c r="C2085" s="4" t="inlineStr">
        <is>
          <t>Efetivo Concursado</t>
        </is>
      </c>
      <c r="D2085" s="4" t="inlineStr">
        <is>
          <t>SEC-ADM</t>
        </is>
      </c>
      <c r="E2085" s="6" t="n">
        <v>2995.93</v>
      </c>
      <c r="F2085" s="6">
        <f>E2085*0.22</f>
        <v/>
      </c>
      <c r="G2085" s="6">
        <f>E2085+F2085</f>
        <v/>
      </c>
      <c r="H2085" s="10" t="n">
        <v>10</v>
      </c>
      <c r="I2085" s="7">
        <f>H2085/(180*0.714)</f>
        <v/>
      </c>
    </row>
    <row r="2086">
      <c r="A2086" s="4" t="inlineStr">
        <is>
          <t>SERV-12082</t>
        </is>
      </c>
      <c r="B2086" s="5" t="inlineStr">
        <is>
          <t>Assistente Administrativo / Operacional</t>
        </is>
      </c>
      <c r="C2086" s="4" t="inlineStr">
        <is>
          <t>Efetivo Concursado</t>
        </is>
      </c>
      <c r="D2086" s="4" t="inlineStr">
        <is>
          <t>SEC-ADM</t>
        </is>
      </c>
      <c r="E2086" s="6" t="n">
        <v>3379.67</v>
      </c>
      <c r="F2086" s="6">
        <f>E2086*0.22</f>
        <v/>
      </c>
      <c r="G2086" s="6">
        <f>E2086+F2086</f>
        <v/>
      </c>
      <c r="H2086" s="10" t="n">
        <v>7</v>
      </c>
      <c r="I2086" s="7">
        <f>H2086/(180*0.714)</f>
        <v/>
      </c>
    </row>
    <row r="2087">
      <c r="A2087" s="4" t="inlineStr">
        <is>
          <t>SERV-12083</t>
        </is>
      </c>
      <c r="B2087" s="5" t="inlineStr">
        <is>
          <t>Assistente Administrativo / Operacional</t>
        </is>
      </c>
      <c r="C2087" s="4" t="inlineStr">
        <is>
          <t>Efetivo Concursado</t>
        </is>
      </c>
      <c r="D2087" s="4" t="inlineStr">
        <is>
          <t>SEC-ADM</t>
        </is>
      </c>
      <c r="E2087" s="6" t="n">
        <v>2853.08</v>
      </c>
      <c r="F2087" s="6">
        <f>E2087*0.22</f>
        <v/>
      </c>
      <c r="G2087" s="6">
        <f>E2087+F2087</f>
        <v/>
      </c>
      <c r="H2087" s="10" t="n">
        <v>14</v>
      </c>
      <c r="I2087" s="7">
        <f>H2087/(180*0.714)</f>
        <v/>
      </c>
    </row>
    <row r="2088">
      <c r="A2088" s="4" t="inlineStr">
        <is>
          <t>SERV-12084</t>
        </is>
      </c>
      <c r="B2088" s="5" t="inlineStr">
        <is>
          <t>Assistente Administrativo / Operacional</t>
        </is>
      </c>
      <c r="C2088" s="4" t="inlineStr">
        <is>
          <t>Efetivo Concursado</t>
        </is>
      </c>
      <c r="D2088" s="4" t="inlineStr">
        <is>
          <t>SEC-ADM</t>
        </is>
      </c>
      <c r="E2088" s="6" t="n">
        <v>3208.21</v>
      </c>
      <c r="F2088" s="6">
        <f>E2088*0.22</f>
        <v/>
      </c>
      <c r="G2088" s="6">
        <f>E2088+F2088</f>
        <v/>
      </c>
      <c r="H2088" s="10" t="n">
        <v>4</v>
      </c>
      <c r="I2088" s="7">
        <f>H2088/(180*0.714)</f>
        <v/>
      </c>
    </row>
    <row r="2089">
      <c r="A2089" s="4" t="inlineStr">
        <is>
          <t>SERV-12085</t>
        </is>
      </c>
      <c r="B2089" s="5" t="inlineStr">
        <is>
          <t>Assistente Administrativo / Operacional</t>
        </is>
      </c>
      <c r="C2089" s="4" t="inlineStr">
        <is>
          <t>Efetivo Concursado</t>
        </is>
      </c>
      <c r="D2089" s="4" t="inlineStr">
        <is>
          <t>SEC-ADM</t>
        </is>
      </c>
      <c r="E2089" s="6" t="n">
        <v>2900.9</v>
      </c>
      <c r="F2089" s="6">
        <f>E2089*0.22</f>
        <v/>
      </c>
      <c r="G2089" s="6">
        <f>E2089+F2089</f>
        <v/>
      </c>
      <c r="H2089" s="10" t="n">
        <v>4</v>
      </c>
      <c r="I2089" s="7">
        <f>H2089/(180*0.714)</f>
        <v/>
      </c>
    </row>
    <row r="2090">
      <c r="A2090" s="4" t="inlineStr">
        <is>
          <t>SERV-12086</t>
        </is>
      </c>
      <c r="B2090" s="5" t="inlineStr">
        <is>
          <t>Assistente Administrativo / Operacional</t>
        </is>
      </c>
      <c r="C2090" s="4" t="inlineStr">
        <is>
          <t>Efetivo Concursado</t>
        </is>
      </c>
      <c r="D2090" s="4" t="inlineStr">
        <is>
          <t>SEC-ADM</t>
        </is>
      </c>
      <c r="E2090" s="6" t="n">
        <v>3008.32</v>
      </c>
      <c r="F2090" s="6">
        <f>E2090*0.22</f>
        <v/>
      </c>
      <c r="G2090" s="6">
        <f>E2090+F2090</f>
        <v/>
      </c>
      <c r="H2090" s="10" t="n">
        <v>8</v>
      </c>
      <c r="I2090" s="7">
        <f>H2090/(180*0.714)</f>
        <v/>
      </c>
    </row>
    <row r="2091">
      <c r="A2091" s="4" t="inlineStr">
        <is>
          <t>SERV-12087</t>
        </is>
      </c>
      <c r="B2091" s="5" t="inlineStr">
        <is>
          <t>Assistente Administrativo / Operacional</t>
        </is>
      </c>
      <c r="C2091" s="4" t="inlineStr">
        <is>
          <t>Efetivo Concursado</t>
        </is>
      </c>
      <c r="D2091" s="4" t="inlineStr">
        <is>
          <t>SEC-ADM</t>
        </is>
      </c>
      <c r="E2091" s="6" t="n">
        <v>3323.26</v>
      </c>
      <c r="F2091" s="6">
        <f>E2091*0.22</f>
        <v/>
      </c>
      <c r="G2091" s="6">
        <f>E2091+F2091</f>
        <v/>
      </c>
      <c r="H2091" s="10" t="n">
        <v>11</v>
      </c>
      <c r="I2091" s="7">
        <f>H2091/(180*0.714)</f>
        <v/>
      </c>
    </row>
    <row r="2092">
      <c r="A2092" s="4" t="inlineStr">
        <is>
          <t>SERV-12088</t>
        </is>
      </c>
      <c r="B2092" s="5" t="inlineStr">
        <is>
          <t>Assistente Administrativo / Operacional</t>
        </is>
      </c>
      <c r="C2092" s="4" t="inlineStr">
        <is>
          <t>Efetivo Concursado</t>
        </is>
      </c>
      <c r="D2092" s="4" t="inlineStr">
        <is>
          <t>SEC-ADM</t>
        </is>
      </c>
      <c r="E2092" s="6" t="n">
        <v>3251.21</v>
      </c>
      <c r="F2092" s="6">
        <f>E2092*0.22</f>
        <v/>
      </c>
      <c r="G2092" s="6">
        <f>E2092+F2092</f>
        <v/>
      </c>
      <c r="H2092" s="10" t="n">
        <v>14</v>
      </c>
      <c r="I2092" s="7">
        <f>H2092/(180*0.714)</f>
        <v/>
      </c>
    </row>
    <row r="2093">
      <c r="A2093" s="4" t="inlineStr">
        <is>
          <t>SERV-12089</t>
        </is>
      </c>
      <c r="B2093" s="5" t="inlineStr">
        <is>
          <t>Assistente Administrativo / Operacional</t>
        </is>
      </c>
      <c r="C2093" s="4" t="inlineStr">
        <is>
          <t>Efetivo Concursado</t>
        </is>
      </c>
      <c r="D2093" s="4" t="inlineStr">
        <is>
          <t>SEC-ADM</t>
        </is>
      </c>
      <c r="E2093" s="6" t="n">
        <v>2958.55</v>
      </c>
      <c r="F2093" s="6">
        <f>E2093*0.22</f>
        <v/>
      </c>
      <c r="G2093" s="6">
        <f>E2093+F2093</f>
        <v/>
      </c>
      <c r="H2093" s="10" t="n">
        <v>7</v>
      </c>
      <c r="I2093" s="7">
        <f>H2093/(180*0.714)</f>
        <v/>
      </c>
    </row>
    <row r="2094">
      <c r="A2094" s="4" t="inlineStr">
        <is>
          <t>SERV-12090</t>
        </is>
      </c>
      <c r="B2094" s="5" t="inlineStr">
        <is>
          <t>Assistente Administrativo / Operacional</t>
        </is>
      </c>
      <c r="C2094" s="4" t="inlineStr">
        <is>
          <t>Efetivo Concursado</t>
        </is>
      </c>
      <c r="D2094" s="4" t="inlineStr">
        <is>
          <t>SEC-ADM</t>
        </is>
      </c>
      <c r="E2094" s="6" t="n">
        <v>2859.74</v>
      </c>
      <c r="F2094" s="6">
        <f>E2094*0.22</f>
        <v/>
      </c>
      <c r="G2094" s="6">
        <f>E2094+F2094</f>
        <v/>
      </c>
      <c r="H2094" s="10" t="n">
        <v>12</v>
      </c>
      <c r="I2094" s="7">
        <f>H2094/(180*0.714)</f>
        <v/>
      </c>
    </row>
    <row r="2095">
      <c r="A2095" s="4" t="inlineStr">
        <is>
          <t>SERV-12091</t>
        </is>
      </c>
      <c r="B2095" s="5" t="inlineStr">
        <is>
          <t>Assistente Administrativo / Operacional</t>
        </is>
      </c>
      <c r="C2095" s="4" t="inlineStr">
        <is>
          <t>Efetivo Concursado</t>
        </is>
      </c>
      <c r="D2095" s="4" t="inlineStr">
        <is>
          <t>SEC-ADM</t>
        </is>
      </c>
      <c r="E2095" s="6" t="n">
        <v>3203.16</v>
      </c>
      <c r="F2095" s="6">
        <f>E2095*0.22</f>
        <v/>
      </c>
      <c r="G2095" s="6">
        <f>E2095+F2095</f>
        <v/>
      </c>
      <c r="H2095" s="10" t="n">
        <v>8</v>
      </c>
      <c r="I2095" s="7">
        <f>H2095/(180*0.714)</f>
        <v/>
      </c>
    </row>
    <row r="2096">
      <c r="A2096" s="4" t="inlineStr">
        <is>
          <t>SERV-12092</t>
        </is>
      </c>
      <c r="B2096" s="5" t="inlineStr">
        <is>
          <t>Assistente Administrativo / Operacional</t>
        </is>
      </c>
      <c r="C2096" s="4" t="inlineStr">
        <is>
          <t>Efetivo Concursado</t>
        </is>
      </c>
      <c r="D2096" s="4" t="inlineStr">
        <is>
          <t>SEC-ADM</t>
        </is>
      </c>
      <c r="E2096" s="6" t="n">
        <v>3452.66</v>
      </c>
      <c r="F2096" s="6">
        <f>E2096*0.22</f>
        <v/>
      </c>
      <c r="G2096" s="6">
        <f>E2096+F2096</f>
        <v/>
      </c>
      <c r="H2096" s="10" t="n">
        <v>12</v>
      </c>
      <c r="I2096" s="7">
        <f>H2096/(180*0.714)</f>
        <v/>
      </c>
    </row>
    <row r="2097">
      <c r="A2097" s="4" t="inlineStr">
        <is>
          <t>SERV-12093</t>
        </is>
      </c>
      <c r="B2097" s="5" t="inlineStr">
        <is>
          <t>Assistente Administrativo / Operacional</t>
        </is>
      </c>
      <c r="C2097" s="4" t="inlineStr">
        <is>
          <t>Efetivo Concursado</t>
        </is>
      </c>
      <c r="D2097" s="4" t="inlineStr">
        <is>
          <t>SEC-ADM</t>
        </is>
      </c>
      <c r="E2097" s="6" t="n">
        <v>3357.87</v>
      </c>
      <c r="F2097" s="6">
        <f>E2097*0.22</f>
        <v/>
      </c>
      <c r="G2097" s="6">
        <f>E2097+F2097</f>
        <v/>
      </c>
      <c r="H2097" s="10" t="n">
        <v>14</v>
      </c>
      <c r="I2097" s="7">
        <f>H2097/(180*0.714)</f>
        <v/>
      </c>
    </row>
    <row r="2098">
      <c r="A2098" s="4" t="inlineStr">
        <is>
          <t>SERV-12094</t>
        </is>
      </c>
      <c r="B2098" s="5" t="inlineStr">
        <is>
          <t>Assistente Administrativo / Operacional</t>
        </is>
      </c>
      <c r="C2098" s="4" t="inlineStr">
        <is>
          <t>Efetivo Concursado</t>
        </is>
      </c>
      <c r="D2098" s="4" t="inlineStr">
        <is>
          <t>SEC-ADM</t>
        </is>
      </c>
      <c r="E2098" s="6" t="n">
        <v>2957.78</v>
      </c>
      <c r="F2098" s="6">
        <f>E2098*0.22</f>
        <v/>
      </c>
      <c r="G2098" s="6">
        <f>E2098+F2098</f>
        <v/>
      </c>
      <c r="H2098" s="10" t="n">
        <v>4</v>
      </c>
      <c r="I2098" s="7">
        <f>H2098/(180*0.714)</f>
        <v/>
      </c>
    </row>
    <row r="2099">
      <c r="A2099" s="4" t="inlineStr">
        <is>
          <t>SERV-12095</t>
        </is>
      </c>
      <c r="B2099" s="5" t="inlineStr">
        <is>
          <t>Assistente Administrativo / Operacional</t>
        </is>
      </c>
      <c r="C2099" s="4" t="inlineStr">
        <is>
          <t>Efetivo Concursado</t>
        </is>
      </c>
      <c r="D2099" s="4" t="inlineStr">
        <is>
          <t>SEC-ADM</t>
        </is>
      </c>
      <c r="E2099" s="6" t="n">
        <v>3039.46</v>
      </c>
      <c r="F2099" s="6">
        <f>E2099*0.22</f>
        <v/>
      </c>
      <c r="G2099" s="6">
        <f>E2099+F2099</f>
        <v/>
      </c>
      <c r="H2099" s="10" t="n">
        <v>4</v>
      </c>
      <c r="I2099" s="7">
        <f>H2099/(180*0.714)</f>
        <v/>
      </c>
    </row>
    <row r="2100">
      <c r="A2100" s="4" t="inlineStr">
        <is>
          <t>SERV-12096</t>
        </is>
      </c>
      <c r="B2100" s="5" t="inlineStr">
        <is>
          <t>Assistente Administrativo / Operacional</t>
        </is>
      </c>
      <c r="C2100" s="4" t="inlineStr">
        <is>
          <t>Efetivo Concursado</t>
        </is>
      </c>
      <c r="D2100" s="4" t="inlineStr">
        <is>
          <t>SEC-ADM</t>
        </is>
      </c>
      <c r="E2100" s="6" t="n">
        <v>3378.23</v>
      </c>
      <c r="F2100" s="6">
        <f>E2100*0.22</f>
        <v/>
      </c>
      <c r="G2100" s="6">
        <f>E2100+F2100</f>
        <v/>
      </c>
      <c r="H2100" s="10" t="n">
        <v>6</v>
      </c>
      <c r="I2100" s="7">
        <f>H2100/(180*0.714)</f>
        <v/>
      </c>
    </row>
    <row r="2101">
      <c r="A2101" s="4" t="inlineStr">
        <is>
          <t>SERV-12097</t>
        </is>
      </c>
      <c r="B2101" s="5" t="inlineStr">
        <is>
          <t>Assistente Administrativo / Operacional</t>
        </is>
      </c>
      <c r="C2101" s="4" t="inlineStr">
        <is>
          <t>Efetivo Concursado</t>
        </is>
      </c>
      <c r="D2101" s="4" t="inlineStr">
        <is>
          <t>SEC-ADM</t>
        </is>
      </c>
      <c r="E2101" s="6" t="n">
        <v>3112.41</v>
      </c>
      <c r="F2101" s="6">
        <f>E2101*0.22</f>
        <v/>
      </c>
      <c r="G2101" s="6">
        <f>E2101+F2101</f>
        <v/>
      </c>
      <c r="H2101" s="10" t="n">
        <v>3</v>
      </c>
      <c r="I2101" s="7">
        <f>H2101/(180*0.714)</f>
        <v/>
      </c>
    </row>
    <row r="2102">
      <c r="A2102" s="4" t="inlineStr">
        <is>
          <t>SERV-12098</t>
        </is>
      </c>
      <c r="B2102" s="5" t="inlineStr">
        <is>
          <t>Assistente Administrativo / Operacional</t>
        </is>
      </c>
      <c r="C2102" s="4" t="inlineStr">
        <is>
          <t>Efetivo Concursado</t>
        </is>
      </c>
      <c r="D2102" s="4" t="inlineStr">
        <is>
          <t>SEC-ADM</t>
        </is>
      </c>
      <c r="E2102" s="6" t="n">
        <v>3387.12</v>
      </c>
      <c r="F2102" s="6">
        <f>E2102*0.22</f>
        <v/>
      </c>
      <c r="G2102" s="6">
        <f>E2102+F2102</f>
        <v/>
      </c>
      <c r="H2102" s="10" t="n">
        <v>3</v>
      </c>
      <c r="I2102" s="7">
        <f>H2102/(180*0.714)</f>
        <v/>
      </c>
    </row>
    <row r="2103">
      <c r="A2103" s="4" t="inlineStr">
        <is>
          <t>SERV-12099</t>
        </is>
      </c>
      <c r="B2103" s="5" t="inlineStr">
        <is>
          <t>Assistente Administrativo / Operacional</t>
        </is>
      </c>
      <c r="C2103" s="4" t="inlineStr">
        <is>
          <t>Efetivo Concursado</t>
        </is>
      </c>
      <c r="D2103" s="4" t="inlineStr">
        <is>
          <t>SEC-ADM</t>
        </is>
      </c>
      <c r="E2103" s="6" t="n">
        <v>3469.58</v>
      </c>
      <c r="F2103" s="6">
        <f>E2103*0.22</f>
        <v/>
      </c>
      <c r="G2103" s="6">
        <f>E2103+F2103</f>
        <v/>
      </c>
      <c r="H2103" s="10" t="n">
        <v>8</v>
      </c>
      <c r="I2103" s="7">
        <f>H2103/(180*0.714)</f>
        <v/>
      </c>
    </row>
    <row r="2104">
      <c r="A2104" s="4" t="inlineStr">
        <is>
          <t>SERV-12100</t>
        </is>
      </c>
      <c r="B2104" s="5" t="inlineStr">
        <is>
          <t>Assistente Administrativo / Operacional</t>
        </is>
      </c>
      <c r="C2104" s="4" t="inlineStr">
        <is>
          <t>Efetivo Concursado</t>
        </is>
      </c>
      <c r="D2104" s="4" t="inlineStr">
        <is>
          <t>SEC-ADM</t>
        </is>
      </c>
      <c r="E2104" s="6" t="n">
        <v>3465.63</v>
      </c>
      <c r="F2104" s="6">
        <f>E2104*0.22</f>
        <v/>
      </c>
      <c r="G2104" s="6">
        <f>E2104+F2104</f>
        <v/>
      </c>
      <c r="H2104" s="10" t="n">
        <v>6</v>
      </c>
      <c r="I2104" s="7">
        <f>H2104/(180*0.714)</f>
        <v/>
      </c>
    </row>
    <row r="2105">
      <c r="A2105" s="4" t="inlineStr">
        <is>
          <t>SERV-12101</t>
        </is>
      </c>
      <c r="B2105" s="5" t="inlineStr">
        <is>
          <t>Assistente Administrativo / Operacional</t>
        </is>
      </c>
      <c r="C2105" s="4" t="inlineStr">
        <is>
          <t>Efetivo Concursado</t>
        </is>
      </c>
      <c r="D2105" s="4" t="inlineStr">
        <is>
          <t>SEC-ADM</t>
        </is>
      </c>
      <c r="E2105" s="6" t="n">
        <v>3145.6</v>
      </c>
      <c r="F2105" s="6">
        <f>E2105*0.22</f>
        <v/>
      </c>
      <c r="G2105" s="6">
        <f>E2105+F2105</f>
        <v/>
      </c>
      <c r="H2105" s="10" t="n">
        <v>9</v>
      </c>
      <c r="I2105" s="7">
        <f>H2105/(180*0.714)</f>
        <v/>
      </c>
    </row>
    <row r="2106">
      <c r="A2106" s="4" t="inlineStr">
        <is>
          <t>SERV-12102</t>
        </is>
      </c>
      <c r="B2106" s="5" t="inlineStr">
        <is>
          <t>Assistente Administrativo / Operacional</t>
        </is>
      </c>
      <c r="C2106" s="4" t="inlineStr">
        <is>
          <t>Efetivo Concursado</t>
        </is>
      </c>
      <c r="D2106" s="4" t="inlineStr">
        <is>
          <t>SEC-ADM</t>
        </is>
      </c>
      <c r="E2106" s="6" t="n">
        <v>3385.07</v>
      </c>
      <c r="F2106" s="6">
        <f>E2106*0.22</f>
        <v/>
      </c>
      <c r="G2106" s="6">
        <f>E2106+F2106</f>
        <v/>
      </c>
      <c r="H2106" s="10" t="n">
        <v>10</v>
      </c>
      <c r="I2106" s="7">
        <f>H2106/(180*0.714)</f>
        <v/>
      </c>
    </row>
    <row r="2107">
      <c r="A2107" s="4" t="inlineStr">
        <is>
          <t>SERV-12103</t>
        </is>
      </c>
      <c r="B2107" s="5" t="inlineStr">
        <is>
          <t>Assistente Administrativo / Operacional</t>
        </is>
      </c>
      <c r="C2107" s="4" t="inlineStr">
        <is>
          <t>Efetivo Concursado</t>
        </is>
      </c>
      <c r="D2107" s="4" t="inlineStr">
        <is>
          <t>SEC-ADM</t>
        </is>
      </c>
      <c r="E2107" s="6" t="n">
        <v>3306.22</v>
      </c>
      <c r="F2107" s="6">
        <f>E2107*0.22</f>
        <v/>
      </c>
      <c r="G2107" s="6">
        <f>E2107+F2107</f>
        <v/>
      </c>
      <c r="H2107" s="10" t="n">
        <v>13</v>
      </c>
      <c r="I2107" s="7">
        <f>H2107/(180*0.714)</f>
        <v/>
      </c>
    </row>
    <row r="2108">
      <c r="A2108" s="4" t="inlineStr">
        <is>
          <t>SERV-12104</t>
        </is>
      </c>
      <c r="B2108" s="5" t="inlineStr">
        <is>
          <t>Assistente Administrativo / Operacional</t>
        </is>
      </c>
      <c r="C2108" s="4" t="inlineStr">
        <is>
          <t>Efetivo Concursado</t>
        </is>
      </c>
      <c r="D2108" s="4" t="inlineStr">
        <is>
          <t>SEC-ADM</t>
        </is>
      </c>
      <c r="E2108" s="6" t="n">
        <v>3157.33</v>
      </c>
      <c r="F2108" s="6">
        <f>E2108*0.22</f>
        <v/>
      </c>
      <c r="G2108" s="6">
        <f>E2108+F2108</f>
        <v/>
      </c>
      <c r="H2108" s="10" t="n">
        <v>10</v>
      </c>
      <c r="I2108" s="7">
        <f>H2108/(180*0.714)</f>
        <v/>
      </c>
    </row>
    <row r="2109">
      <c r="A2109" s="4" t="inlineStr">
        <is>
          <t>SERV-12105</t>
        </is>
      </c>
      <c r="B2109" s="5" t="inlineStr">
        <is>
          <t>Assistente Administrativo / Operacional</t>
        </is>
      </c>
      <c r="C2109" s="4" t="inlineStr">
        <is>
          <t>Efetivo Concursado</t>
        </is>
      </c>
      <c r="D2109" s="4" t="inlineStr">
        <is>
          <t>SEC-ADM</t>
        </is>
      </c>
      <c r="E2109" s="6" t="n">
        <v>3355.51</v>
      </c>
      <c r="F2109" s="6">
        <f>E2109*0.22</f>
        <v/>
      </c>
      <c r="G2109" s="6">
        <f>E2109+F2109</f>
        <v/>
      </c>
      <c r="H2109" s="10" t="n">
        <v>12</v>
      </c>
      <c r="I2109" s="7">
        <f>H2109/(180*0.714)</f>
        <v/>
      </c>
    </row>
    <row r="2110">
      <c r="A2110" s="4" t="inlineStr">
        <is>
          <t>SERV-12106</t>
        </is>
      </c>
      <c r="B2110" s="5" t="inlineStr">
        <is>
          <t>Assistente Administrativo / Operacional</t>
        </is>
      </c>
      <c r="C2110" s="4" t="inlineStr">
        <is>
          <t>Efetivo Concursado</t>
        </is>
      </c>
      <c r="D2110" s="4" t="inlineStr">
        <is>
          <t>SEC-ADM</t>
        </is>
      </c>
      <c r="E2110" s="6" t="n">
        <v>3298.98</v>
      </c>
      <c r="F2110" s="6">
        <f>E2110*0.22</f>
        <v/>
      </c>
      <c r="G2110" s="6">
        <f>E2110+F2110</f>
        <v/>
      </c>
      <c r="H2110" s="10" t="n">
        <v>11</v>
      </c>
      <c r="I2110" s="7">
        <f>H2110/(180*0.714)</f>
        <v/>
      </c>
    </row>
    <row r="2111">
      <c r="A2111" s="4" t="inlineStr">
        <is>
          <t>SERV-12107</t>
        </is>
      </c>
      <c r="B2111" s="5" t="inlineStr">
        <is>
          <t>Assistente Administrativo / Operacional</t>
        </is>
      </c>
      <c r="C2111" s="4" t="inlineStr">
        <is>
          <t>Efetivo Concursado</t>
        </is>
      </c>
      <c r="D2111" s="4" t="inlineStr">
        <is>
          <t>SEC-ADM</t>
        </is>
      </c>
      <c r="E2111" s="6" t="n">
        <v>3265.34</v>
      </c>
      <c r="F2111" s="6">
        <f>E2111*0.22</f>
        <v/>
      </c>
      <c r="G2111" s="6">
        <f>E2111+F2111</f>
        <v/>
      </c>
      <c r="H2111" s="10" t="n">
        <v>4</v>
      </c>
      <c r="I2111" s="7">
        <f>H2111/(180*0.714)</f>
        <v/>
      </c>
    </row>
    <row r="2112">
      <c r="A2112" s="4" t="inlineStr">
        <is>
          <t>SERV-12108</t>
        </is>
      </c>
      <c r="B2112" s="5" t="inlineStr">
        <is>
          <t>Assistente Administrativo / Operacional</t>
        </is>
      </c>
      <c r="C2112" s="4" t="inlineStr">
        <is>
          <t>Efetivo Concursado</t>
        </is>
      </c>
      <c r="D2112" s="4" t="inlineStr">
        <is>
          <t>SEC-ADM</t>
        </is>
      </c>
      <c r="E2112" s="6" t="n">
        <v>2932.94</v>
      </c>
      <c r="F2112" s="6">
        <f>E2112*0.22</f>
        <v/>
      </c>
      <c r="G2112" s="6">
        <f>E2112+F2112</f>
        <v/>
      </c>
      <c r="H2112" s="10" t="n">
        <v>6</v>
      </c>
      <c r="I2112" s="7">
        <f>H2112/(180*0.714)</f>
        <v/>
      </c>
    </row>
    <row r="2113">
      <c r="A2113" s="4" t="inlineStr">
        <is>
          <t>SERV-12109</t>
        </is>
      </c>
      <c r="B2113" s="5" t="inlineStr">
        <is>
          <t>Assistente Administrativo / Operacional</t>
        </is>
      </c>
      <c r="C2113" s="4" t="inlineStr">
        <is>
          <t>Efetivo Concursado</t>
        </is>
      </c>
      <c r="D2113" s="4" t="inlineStr">
        <is>
          <t>SEC-ADM</t>
        </is>
      </c>
      <c r="E2113" s="6" t="n">
        <v>2866.19</v>
      </c>
      <c r="F2113" s="6">
        <f>E2113*0.22</f>
        <v/>
      </c>
      <c r="G2113" s="6">
        <f>E2113+F2113</f>
        <v/>
      </c>
      <c r="H2113" s="10" t="n">
        <v>11</v>
      </c>
      <c r="I2113" s="7">
        <f>H2113/(180*0.714)</f>
        <v/>
      </c>
    </row>
    <row r="2114">
      <c r="A2114" s="4" t="inlineStr">
        <is>
          <t>SERV-12110</t>
        </is>
      </c>
      <c r="B2114" s="5" t="inlineStr">
        <is>
          <t>Assistente Administrativo / Operacional</t>
        </is>
      </c>
      <c r="C2114" s="4" t="inlineStr">
        <is>
          <t>Efetivo Concursado</t>
        </is>
      </c>
      <c r="D2114" s="4" t="inlineStr">
        <is>
          <t>SEC-ADM</t>
        </is>
      </c>
      <c r="E2114" s="6" t="n">
        <v>3126.98</v>
      </c>
      <c r="F2114" s="6">
        <f>E2114*0.22</f>
        <v/>
      </c>
      <c r="G2114" s="6">
        <f>E2114+F2114</f>
        <v/>
      </c>
      <c r="H2114" s="10" t="n">
        <v>3</v>
      </c>
      <c r="I2114" s="7">
        <f>H2114/(180*0.714)</f>
        <v/>
      </c>
    </row>
    <row r="2115">
      <c r="A2115" s="4" t="inlineStr">
        <is>
          <t>SERV-12111</t>
        </is>
      </c>
      <c r="B2115" s="5" t="inlineStr">
        <is>
          <t>Assistente Administrativo / Operacional</t>
        </is>
      </c>
      <c r="C2115" s="4" t="inlineStr">
        <is>
          <t>Efetivo Concursado</t>
        </is>
      </c>
      <c r="D2115" s="4" t="inlineStr">
        <is>
          <t>SEC-ADM</t>
        </is>
      </c>
      <c r="E2115" s="6" t="n">
        <v>3374</v>
      </c>
      <c r="F2115" s="6">
        <f>E2115*0.22</f>
        <v/>
      </c>
      <c r="G2115" s="6">
        <f>E2115+F2115</f>
        <v/>
      </c>
      <c r="H2115" s="10" t="n">
        <v>5</v>
      </c>
      <c r="I2115" s="7">
        <f>H2115/(180*0.714)</f>
        <v/>
      </c>
    </row>
    <row r="2116">
      <c r="A2116" s="4" t="inlineStr">
        <is>
          <t>SERV-12112</t>
        </is>
      </c>
      <c r="B2116" s="5" t="inlineStr">
        <is>
          <t>Assistente Administrativo / Operacional</t>
        </is>
      </c>
      <c r="C2116" s="4" t="inlineStr">
        <is>
          <t>Efetivo Concursado</t>
        </is>
      </c>
      <c r="D2116" s="4" t="inlineStr">
        <is>
          <t>SEC-ADM</t>
        </is>
      </c>
      <c r="E2116" s="6" t="n">
        <v>3024.63</v>
      </c>
      <c r="F2116" s="6">
        <f>E2116*0.22</f>
        <v/>
      </c>
      <c r="G2116" s="6">
        <f>E2116+F2116</f>
        <v/>
      </c>
      <c r="H2116" s="10" t="n">
        <v>4</v>
      </c>
      <c r="I2116" s="7">
        <f>H2116/(180*0.714)</f>
        <v/>
      </c>
    </row>
    <row r="2117">
      <c r="A2117" s="4" t="inlineStr">
        <is>
          <t>SERV-12113</t>
        </is>
      </c>
      <c r="B2117" s="5" t="inlineStr">
        <is>
          <t>Assistente Administrativo / Operacional</t>
        </is>
      </c>
      <c r="C2117" s="4" t="inlineStr">
        <is>
          <t>Efetivo Concursado</t>
        </is>
      </c>
      <c r="D2117" s="4" t="inlineStr">
        <is>
          <t>SEC-ADM</t>
        </is>
      </c>
      <c r="E2117" s="6" t="n">
        <v>3427.18</v>
      </c>
      <c r="F2117" s="6">
        <f>E2117*0.22</f>
        <v/>
      </c>
      <c r="G2117" s="6">
        <f>E2117+F2117</f>
        <v/>
      </c>
      <c r="H2117" s="10" t="n">
        <v>6</v>
      </c>
      <c r="I2117" s="7">
        <f>H2117/(180*0.714)</f>
        <v/>
      </c>
    </row>
    <row r="2118">
      <c r="A2118" s="4" t="inlineStr">
        <is>
          <t>SERV-12114</t>
        </is>
      </c>
      <c r="B2118" s="5" t="inlineStr">
        <is>
          <t>Assistente Administrativo / Operacional</t>
        </is>
      </c>
      <c r="C2118" s="4" t="inlineStr">
        <is>
          <t>Efetivo Concursado</t>
        </is>
      </c>
      <c r="D2118" s="4" t="inlineStr">
        <is>
          <t>SEC-ADM</t>
        </is>
      </c>
      <c r="E2118" s="6" t="n">
        <v>3446.66</v>
      </c>
      <c r="F2118" s="6">
        <f>E2118*0.22</f>
        <v/>
      </c>
      <c r="G2118" s="6">
        <f>E2118+F2118</f>
        <v/>
      </c>
      <c r="H2118" s="10" t="n">
        <v>6</v>
      </c>
      <c r="I2118" s="7">
        <f>H2118/(180*0.714)</f>
        <v/>
      </c>
    </row>
    <row r="2119">
      <c r="A2119" s="4" t="inlineStr">
        <is>
          <t>SERV-12115</t>
        </is>
      </c>
      <c r="B2119" s="5" t="inlineStr">
        <is>
          <t>Assistente Administrativo / Operacional</t>
        </is>
      </c>
      <c r="C2119" s="4" t="inlineStr">
        <is>
          <t>Efetivo Concursado</t>
        </is>
      </c>
      <c r="D2119" s="4" t="inlineStr">
        <is>
          <t>SEC-ADM</t>
        </is>
      </c>
      <c r="E2119" s="6" t="n">
        <v>3065.92</v>
      </c>
      <c r="F2119" s="6">
        <f>E2119*0.22</f>
        <v/>
      </c>
      <c r="G2119" s="6">
        <f>E2119+F2119</f>
        <v/>
      </c>
      <c r="H2119" s="10" t="n">
        <v>4</v>
      </c>
      <c r="I2119" s="7">
        <f>H2119/(180*0.714)</f>
        <v/>
      </c>
    </row>
    <row r="2120">
      <c r="A2120" s="4" t="inlineStr">
        <is>
          <t>SERV-12116</t>
        </is>
      </c>
      <c r="B2120" s="5" t="inlineStr">
        <is>
          <t>Assistente Administrativo / Operacional</t>
        </is>
      </c>
      <c r="C2120" s="4" t="inlineStr">
        <is>
          <t>Efetivo Concursado</t>
        </is>
      </c>
      <c r="D2120" s="4" t="inlineStr">
        <is>
          <t>SEC-ADM</t>
        </is>
      </c>
      <c r="E2120" s="6" t="n">
        <v>3032.06</v>
      </c>
      <c r="F2120" s="6">
        <f>E2120*0.22</f>
        <v/>
      </c>
      <c r="G2120" s="6">
        <f>E2120+F2120</f>
        <v/>
      </c>
      <c r="H2120" s="10" t="n">
        <v>3</v>
      </c>
      <c r="I2120" s="7">
        <f>H2120/(180*0.714)</f>
        <v/>
      </c>
    </row>
    <row r="2121">
      <c r="A2121" s="4" t="inlineStr">
        <is>
          <t>SERV-12117</t>
        </is>
      </c>
      <c r="B2121" s="5" t="inlineStr">
        <is>
          <t>Assistente Administrativo / Operacional</t>
        </is>
      </c>
      <c r="C2121" s="4" t="inlineStr">
        <is>
          <t>Efetivo Concursado</t>
        </is>
      </c>
      <c r="D2121" s="4" t="inlineStr">
        <is>
          <t>SEC-ADM</t>
        </is>
      </c>
      <c r="E2121" s="6" t="n">
        <v>3174.05</v>
      </c>
      <c r="F2121" s="6">
        <f>E2121*0.22</f>
        <v/>
      </c>
      <c r="G2121" s="6">
        <f>E2121+F2121</f>
        <v/>
      </c>
      <c r="H2121" s="10" t="n">
        <v>4</v>
      </c>
      <c r="I2121" s="7">
        <f>H2121/(180*0.714)</f>
        <v/>
      </c>
    </row>
    <row r="2122">
      <c r="A2122" s="4" t="inlineStr">
        <is>
          <t>SERV-12118</t>
        </is>
      </c>
      <c r="B2122" s="5" t="inlineStr">
        <is>
          <t>Assistente Administrativo / Operacional</t>
        </is>
      </c>
      <c r="C2122" s="4" t="inlineStr">
        <is>
          <t>Efetivo Concursado</t>
        </is>
      </c>
      <c r="D2122" s="4" t="inlineStr">
        <is>
          <t>SEC-ADM</t>
        </is>
      </c>
      <c r="E2122" s="6" t="n">
        <v>3344.47</v>
      </c>
      <c r="F2122" s="6">
        <f>E2122*0.22</f>
        <v/>
      </c>
      <c r="G2122" s="6">
        <f>E2122+F2122</f>
        <v/>
      </c>
      <c r="H2122" s="10" t="n">
        <v>7</v>
      </c>
      <c r="I2122" s="7">
        <f>H2122/(180*0.714)</f>
        <v/>
      </c>
    </row>
    <row r="2123">
      <c r="A2123" s="4" t="inlineStr">
        <is>
          <t>SERV-12119</t>
        </is>
      </c>
      <c r="B2123" s="5" t="inlineStr">
        <is>
          <t>Assistente Administrativo / Operacional</t>
        </is>
      </c>
      <c r="C2123" s="4" t="inlineStr">
        <is>
          <t>Efetivo Concursado</t>
        </is>
      </c>
      <c r="D2123" s="4" t="inlineStr">
        <is>
          <t>SEC-ADM</t>
        </is>
      </c>
      <c r="E2123" s="6" t="n">
        <v>3253.07</v>
      </c>
      <c r="F2123" s="6">
        <f>E2123*0.22</f>
        <v/>
      </c>
      <c r="G2123" s="6">
        <f>E2123+F2123</f>
        <v/>
      </c>
      <c r="H2123" s="10" t="n">
        <v>7</v>
      </c>
      <c r="I2123" s="7">
        <f>H2123/(180*0.714)</f>
        <v/>
      </c>
    </row>
    <row r="2124">
      <c r="A2124" s="4" t="inlineStr">
        <is>
          <t>SERV-12120</t>
        </is>
      </c>
      <c r="B2124" s="5" t="inlineStr">
        <is>
          <t>Assistente Administrativo / Operacional</t>
        </is>
      </c>
      <c r="C2124" s="4" t="inlineStr">
        <is>
          <t>Efetivo Concursado</t>
        </is>
      </c>
      <c r="D2124" s="4" t="inlineStr">
        <is>
          <t>SEC-ADM</t>
        </is>
      </c>
      <c r="E2124" s="6" t="n">
        <v>3306.74</v>
      </c>
      <c r="F2124" s="6">
        <f>E2124*0.22</f>
        <v/>
      </c>
      <c r="G2124" s="6">
        <f>E2124+F2124</f>
        <v/>
      </c>
      <c r="H2124" s="10" t="n">
        <v>4</v>
      </c>
      <c r="I2124" s="7">
        <f>H2124/(180*0.714)</f>
        <v/>
      </c>
    </row>
    <row r="2125">
      <c r="A2125" s="4" t="inlineStr">
        <is>
          <t>SERV-12121</t>
        </is>
      </c>
      <c r="B2125" s="5" t="inlineStr">
        <is>
          <t>Assistente Administrativo / Operacional</t>
        </is>
      </c>
      <c r="C2125" s="4" t="inlineStr">
        <is>
          <t>Efetivo Concursado</t>
        </is>
      </c>
      <c r="D2125" s="4" t="inlineStr">
        <is>
          <t>SEC-ADM</t>
        </is>
      </c>
      <c r="E2125" s="6" t="n">
        <v>2941.46</v>
      </c>
      <c r="F2125" s="6">
        <f>E2125*0.22</f>
        <v/>
      </c>
      <c r="G2125" s="6">
        <f>E2125+F2125</f>
        <v/>
      </c>
      <c r="H2125" s="10" t="n">
        <v>3</v>
      </c>
      <c r="I2125" s="7">
        <f>H2125/(180*0.714)</f>
        <v/>
      </c>
    </row>
    <row r="2126">
      <c r="A2126" s="4" t="inlineStr">
        <is>
          <t>SERV-12122</t>
        </is>
      </c>
      <c r="B2126" s="5" t="inlineStr">
        <is>
          <t>Assistente Administrativo / Operacional</t>
        </is>
      </c>
      <c r="C2126" s="4" t="inlineStr">
        <is>
          <t>Efetivo Concursado</t>
        </is>
      </c>
      <c r="D2126" s="4" t="inlineStr">
        <is>
          <t>SEC-ADM</t>
        </is>
      </c>
      <c r="E2126" s="6" t="n">
        <v>2856.98</v>
      </c>
      <c r="F2126" s="6">
        <f>E2126*0.22</f>
        <v/>
      </c>
      <c r="G2126" s="6">
        <f>E2126+F2126</f>
        <v/>
      </c>
      <c r="H2126" s="10" t="n">
        <v>6</v>
      </c>
      <c r="I2126" s="7">
        <f>H2126/(180*0.714)</f>
        <v/>
      </c>
    </row>
    <row r="2127">
      <c r="A2127" s="4" t="inlineStr">
        <is>
          <t>SERV-12123</t>
        </is>
      </c>
      <c r="B2127" s="5" t="inlineStr">
        <is>
          <t>Assistente Administrativo / Operacional</t>
        </is>
      </c>
      <c r="C2127" s="4" t="inlineStr">
        <is>
          <t>Efetivo Concursado</t>
        </is>
      </c>
      <c r="D2127" s="4" t="inlineStr">
        <is>
          <t>SEC-ADM</t>
        </is>
      </c>
      <c r="E2127" s="6" t="n">
        <v>3325.34</v>
      </c>
      <c r="F2127" s="6">
        <f>E2127*0.22</f>
        <v/>
      </c>
      <c r="G2127" s="6">
        <f>E2127+F2127</f>
        <v/>
      </c>
      <c r="H2127" s="10" t="n">
        <v>8</v>
      </c>
      <c r="I2127" s="7">
        <f>H2127/(180*0.714)</f>
        <v/>
      </c>
    </row>
    <row r="2128">
      <c r="A2128" s="4" t="inlineStr">
        <is>
          <t>SERV-12124</t>
        </is>
      </c>
      <c r="B2128" s="5" t="inlineStr">
        <is>
          <t>Assistente Administrativo / Operacional</t>
        </is>
      </c>
      <c r="C2128" s="4" t="inlineStr">
        <is>
          <t>Efetivo Concursado</t>
        </is>
      </c>
      <c r="D2128" s="4" t="inlineStr">
        <is>
          <t>SEC-ADM</t>
        </is>
      </c>
      <c r="E2128" s="6" t="n">
        <v>3211.42</v>
      </c>
      <c r="F2128" s="6">
        <f>E2128*0.22</f>
        <v/>
      </c>
      <c r="G2128" s="6">
        <f>E2128+F2128</f>
        <v/>
      </c>
      <c r="H2128" s="10" t="n">
        <v>7</v>
      </c>
      <c r="I2128" s="7">
        <f>H2128/(180*0.714)</f>
        <v/>
      </c>
    </row>
    <row r="2129">
      <c r="A2129" s="4" t="inlineStr">
        <is>
          <t>SERV-12125</t>
        </is>
      </c>
      <c r="B2129" s="5" t="inlineStr">
        <is>
          <t>Assistente Administrativo / Operacional</t>
        </is>
      </c>
      <c r="C2129" s="4" t="inlineStr">
        <is>
          <t>Efetivo Concursado</t>
        </is>
      </c>
      <c r="D2129" s="4" t="inlineStr">
        <is>
          <t>SEC-ADM</t>
        </is>
      </c>
      <c r="E2129" s="6" t="n">
        <v>3055.39</v>
      </c>
      <c r="F2129" s="6">
        <f>E2129*0.22</f>
        <v/>
      </c>
      <c r="G2129" s="6">
        <f>E2129+F2129</f>
        <v/>
      </c>
      <c r="H2129" s="10" t="n">
        <v>3</v>
      </c>
      <c r="I2129" s="7">
        <f>H2129/(180*0.714)</f>
        <v/>
      </c>
    </row>
    <row r="2130">
      <c r="A2130" s="4" t="inlineStr">
        <is>
          <t>SERV-12126</t>
        </is>
      </c>
      <c r="B2130" s="5" t="inlineStr">
        <is>
          <t>Assistente Administrativo / Operacional</t>
        </is>
      </c>
      <c r="C2130" s="4" t="inlineStr">
        <is>
          <t>Efetivo Concursado</t>
        </is>
      </c>
      <c r="D2130" s="4" t="inlineStr">
        <is>
          <t>SEC-ADM</t>
        </is>
      </c>
      <c r="E2130" s="6" t="n">
        <v>3212.63</v>
      </c>
      <c r="F2130" s="6">
        <f>E2130*0.22</f>
        <v/>
      </c>
      <c r="G2130" s="6">
        <f>E2130+F2130</f>
        <v/>
      </c>
      <c r="H2130" s="10" t="n">
        <v>5</v>
      </c>
      <c r="I2130" s="7">
        <f>H2130/(180*0.714)</f>
        <v/>
      </c>
    </row>
    <row r="2131">
      <c r="A2131" s="4" t="inlineStr">
        <is>
          <t>SERV-12127</t>
        </is>
      </c>
      <c r="B2131" s="5" t="inlineStr">
        <is>
          <t>Assistente Administrativo / Operacional</t>
        </is>
      </c>
      <c r="C2131" s="4" t="inlineStr">
        <is>
          <t>Efetivo Concursado</t>
        </is>
      </c>
      <c r="D2131" s="4" t="inlineStr">
        <is>
          <t>SEC-ADM</t>
        </is>
      </c>
      <c r="E2131" s="6" t="n">
        <v>3073.42</v>
      </c>
      <c r="F2131" s="6">
        <f>E2131*0.22</f>
        <v/>
      </c>
      <c r="G2131" s="6">
        <f>E2131+F2131</f>
        <v/>
      </c>
      <c r="H2131" s="10" t="n">
        <v>13</v>
      </c>
      <c r="I2131" s="7">
        <f>H2131/(180*0.714)</f>
        <v/>
      </c>
    </row>
    <row r="2132">
      <c r="A2132" s="4" t="inlineStr">
        <is>
          <t>SERV-12128</t>
        </is>
      </c>
      <c r="B2132" s="5" t="inlineStr">
        <is>
          <t>Assistente Administrativo / Operacional</t>
        </is>
      </c>
      <c r="C2132" s="4" t="inlineStr">
        <is>
          <t>Efetivo Concursado</t>
        </is>
      </c>
      <c r="D2132" s="4" t="inlineStr">
        <is>
          <t>SEC-ADM</t>
        </is>
      </c>
      <c r="E2132" s="6" t="n">
        <v>2970.12</v>
      </c>
      <c r="F2132" s="6">
        <f>E2132*0.22</f>
        <v/>
      </c>
      <c r="G2132" s="6">
        <f>E2132+F2132</f>
        <v/>
      </c>
      <c r="H2132" s="10" t="n">
        <v>4</v>
      </c>
      <c r="I2132" s="7">
        <f>H2132/(180*0.714)</f>
        <v/>
      </c>
    </row>
    <row r="2133">
      <c r="A2133" s="4" t="inlineStr">
        <is>
          <t>SERV-12129</t>
        </is>
      </c>
      <c r="B2133" s="5" t="inlineStr">
        <is>
          <t>Assistente Administrativo / Operacional</t>
        </is>
      </c>
      <c r="C2133" s="4" t="inlineStr">
        <is>
          <t>Efetivo Concursado</t>
        </is>
      </c>
      <c r="D2133" s="4" t="inlineStr">
        <is>
          <t>SEC-ADM</t>
        </is>
      </c>
      <c r="E2133" s="6" t="n">
        <v>2916.93</v>
      </c>
      <c r="F2133" s="6">
        <f>E2133*0.22</f>
        <v/>
      </c>
      <c r="G2133" s="6">
        <f>E2133+F2133</f>
        <v/>
      </c>
      <c r="H2133" s="10" t="n">
        <v>8</v>
      </c>
      <c r="I2133" s="7">
        <f>H2133/(180*0.714)</f>
        <v/>
      </c>
    </row>
    <row r="2134">
      <c r="A2134" s="4" t="inlineStr">
        <is>
          <t>SERV-12130</t>
        </is>
      </c>
      <c r="B2134" s="5" t="inlineStr">
        <is>
          <t>Assistente Administrativo / Operacional</t>
        </is>
      </c>
      <c r="C2134" s="4" t="inlineStr">
        <is>
          <t>Efetivo Concursado</t>
        </is>
      </c>
      <c r="D2134" s="4" t="inlineStr">
        <is>
          <t>SEC-ADM</t>
        </is>
      </c>
      <c r="E2134" s="6" t="n">
        <v>3235.53</v>
      </c>
      <c r="F2134" s="6">
        <f>E2134*0.22</f>
        <v/>
      </c>
      <c r="G2134" s="6">
        <f>E2134+F2134</f>
        <v/>
      </c>
      <c r="H2134" s="10" t="n">
        <v>11</v>
      </c>
      <c r="I2134" s="7">
        <f>H2134/(180*0.714)</f>
        <v/>
      </c>
    </row>
    <row r="2135">
      <c r="A2135" s="4" t="inlineStr">
        <is>
          <t>SERV-12131</t>
        </is>
      </c>
      <c r="B2135" s="5" t="inlineStr">
        <is>
          <t>Assistente Administrativo / Operacional</t>
        </is>
      </c>
      <c r="C2135" s="4" t="inlineStr">
        <is>
          <t>Efetivo Concursado</t>
        </is>
      </c>
      <c r="D2135" s="4" t="inlineStr">
        <is>
          <t>SEC-ADM</t>
        </is>
      </c>
      <c r="E2135" s="6" t="n">
        <v>3386.71</v>
      </c>
      <c r="F2135" s="6">
        <f>E2135*0.22</f>
        <v/>
      </c>
      <c r="G2135" s="6">
        <f>E2135+F2135</f>
        <v/>
      </c>
      <c r="H2135" s="10" t="n">
        <v>11</v>
      </c>
      <c r="I2135" s="7">
        <f>H2135/(180*0.714)</f>
        <v/>
      </c>
    </row>
    <row r="2136">
      <c r="A2136" s="4" t="inlineStr">
        <is>
          <t>SERV-12132</t>
        </is>
      </c>
      <c r="B2136" s="5" t="inlineStr">
        <is>
          <t>Assistente Administrativo / Operacional</t>
        </is>
      </c>
      <c r="C2136" s="4" t="inlineStr">
        <is>
          <t>Efetivo Concursado</t>
        </is>
      </c>
      <c r="D2136" s="4" t="inlineStr">
        <is>
          <t>SEC-ADM</t>
        </is>
      </c>
      <c r="E2136" s="6" t="n">
        <v>2879.74</v>
      </c>
      <c r="F2136" s="6">
        <f>E2136*0.22</f>
        <v/>
      </c>
      <c r="G2136" s="6">
        <f>E2136+F2136</f>
        <v/>
      </c>
      <c r="H2136" s="10" t="n">
        <v>7</v>
      </c>
      <c r="I2136" s="7">
        <f>H2136/(180*0.714)</f>
        <v/>
      </c>
    </row>
    <row r="2137">
      <c r="A2137" s="4" t="inlineStr">
        <is>
          <t>SERV-12133</t>
        </is>
      </c>
      <c r="B2137" s="5" t="inlineStr">
        <is>
          <t>Assistente Administrativo / Operacional</t>
        </is>
      </c>
      <c r="C2137" s="4" t="inlineStr">
        <is>
          <t>Efetivo Concursado</t>
        </is>
      </c>
      <c r="D2137" s="4" t="inlineStr">
        <is>
          <t>SEC-ADM</t>
        </is>
      </c>
      <c r="E2137" s="6" t="n">
        <v>3463.62</v>
      </c>
      <c r="F2137" s="6">
        <f>E2137*0.22</f>
        <v/>
      </c>
      <c r="G2137" s="6">
        <f>E2137+F2137</f>
        <v/>
      </c>
      <c r="H2137" s="10" t="n">
        <v>14</v>
      </c>
      <c r="I2137" s="7">
        <f>H2137/(180*0.714)</f>
        <v/>
      </c>
    </row>
    <row r="2138">
      <c r="A2138" s="4" t="inlineStr">
        <is>
          <t>SERV-12134</t>
        </is>
      </c>
      <c r="B2138" s="5" t="inlineStr">
        <is>
          <t>Assistente Administrativo / Operacional</t>
        </is>
      </c>
      <c r="C2138" s="4" t="inlineStr">
        <is>
          <t>Efetivo Concursado</t>
        </is>
      </c>
      <c r="D2138" s="4" t="inlineStr">
        <is>
          <t>SEC-ADM</t>
        </is>
      </c>
      <c r="E2138" s="6" t="n">
        <v>2971.49</v>
      </c>
      <c r="F2138" s="6">
        <f>E2138*0.22</f>
        <v/>
      </c>
      <c r="G2138" s="6">
        <f>E2138+F2138</f>
        <v/>
      </c>
      <c r="H2138" s="10" t="n">
        <v>12</v>
      </c>
      <c r="I2138" s="7">
        <f>H2138/(180*0.714)</f>
        <v/>
      </c>
    </row>
    <row r="2139">
      <c r="A2139" s="4" t="inlineStr">
        <is>
          <t>SERV-12135</t>
        </is>
      </c>
      <c r="B2139" s="5" t="inlineStr">
        <is>
          <t>Assistente Administrativo / Operacional</t>
        </is>
      </c>
      <c r="C2139" s="4" t="inlineStr">
        <is>
          <t>Efetivo Concursado</t>
        </is>
      </c>
      <c r="D2139" s="4" t="inlineStr">
        <is>
          <t>SEC-ADM</t>
        </is>
      </c>
      <c r="E2139" s="6" t="n">
        <v>3421.11</v>
      </c>
      <c r="F2139" s="6">
        <f>E2139*0.22</f>
        <v/>
      </c>
      <c r="G2139" s="6">
        <f>E2139+F2139</f>
        <v/>
      </c>
      <c r="H2139" s="10" t="n">
        <v>13</v>
      </c>
      <c r="I2139" s="7">
        <f>H2139/(180*0.714)</f>
        <v/>
      </c>
    </row>
    <row r="2140">
      <c r="A2140" s="4" t="inlineStr">
        <is>
          <t>SERV-12136</t>
        </is>
      </c>
      <c r="B2140" s="5" t="inlineStr">
        <is>
          <t>Assistente Administrativo / Operacional</t>
        </is>
      </c>
      <c r="C2140" s="4" t="inlineStr">
        <is>
          <t>Efetivo Concursado</t>
        </is>
      </c>
      <c r="D2140" s="4" t="inlineStr">
        <is>
          <t>SEC-ADM</t>
        </is>
      </c>
      <c r="E2140" s="6" t="n">
        <v>2992.24</v>
      </c>
      <c r="F2140" s="6">
        <f>E2140*0.22</f>
        <v/>
      </c>
      <c r="G2140" s="6">
        <f>E2140+F2140</f>
        <v/>
      </c>
      <c r="H2140" s="10" t="n">
        <v>12</v>
      </c>
      <c r="I2140" s="7">
        <f>H2140/(180*0.714)</f>
        <v/>
      </c>
    </row>
    <row r="2141">
      <c r="A2141" s="4" t="inlineStr">
        <is>
          <t>SERV-12137</t>
        </is>
      </c>
      <c r="B2141" s="5" t="inlineStr">
        <is>
          <t>Assistente Administrativo / Operacional</t>
        </is>
      </c>
      <c r="C2141" s="4" t="inlineStr">
        <is>
          <t>Efetivo Concursado</t>
        </is>
      </c>
      <c r="D2141" s="4" t="inlineStr">
        <is>
          <t>SEC-ADM</t>
        </is>
      </c>
      <c r="E2141" s="6" t="n">
        <v>3415.81</v>
      </c>
      <c r="F2141" s="6">
        <f>E2141*0.22</f>
        <v/>
      </c>
      <c r="G2141" s="6">
        <f>E2141+F2141</f>
        <v/>
      </c>
      <c r="H2141" s="10" t="n">
        <v>3</v>
      </c>
      <c r="I2141" s="7">
        <f>H2141/(180*0.714)</f>
        <v/>
      </c>
    </row>
    <row r="2142">
      <c r="A2142" s="4" t="inlineStr">
        <is>
          <t>SERV-12138</t>
        </is>
      </c>
      <c r="B2142" s="5" t="inlineStr">
        <is>
          <t>Assistente Administrativo / Operacional</t>
        </is>
      </c>
      <c r="C2142" s="4" t="inlineStr">
        <is>
          <t>Efetivo Concursado</t>
        </is>
      </c>
      <c r="D2142" s="4" t="inlineStr">
        <is>
          <t>SEC-ADM</t>
        </is>
      </c>
      <c r="E2142" s="6" t="n">
        <v>3090.39</v>
      </c>
      <c r="F2142" s="6">
        <f>E2142*0.22</f>
        <v/>
      </c>
      <c r="G2142" s="6">
        <f>E2142+F2142</f>
        <v/>
      </c>
      <c r="H2142" s="10" t="n">
        <v>3</v>
      </c>
      <c r="I2142" s="7">
        <f>H2142/(180*0.714)</f>
        <v/>
      </c>
    </row>
    <row r="2143">
      <c r="A2143" s="4" t="inlineStr">
        <is>
          <t>SERV-12139</t>
        </is>
      </c>
      <c r="B2143" s="5" t="inlineStr">
        <is>
          <t>Assistente Administrativo / Operacional</t>
        </is>
      </c>
      <c r="C2143" s="4" t="inlineStr">
        <is>
          <t>Efetivo Concursado</t>
        </is>
      </c>
      <c r="D2143" s="4" t="inlineStr">
        <is>
          <t>SEC-ADM</t>
        </is>
      </c>
      <c r="E2143" s="6" t="n">
        <v>3092.01</v>
      </c>
      <c r="F2143" s="6">
        <f>E2143*0.22</f>
        <v/>
      </c>
      <c r="G2143" s="6">
        <f>E2143+F2143</f>
        <v/>
      </c>
      <c r="H2143" s="10" t="n">
        <v>9</v>
      </c>
      <c r="I2143" s="7">
        <f>H2143/(180*0.714)</f>
        <v/>
      </c>
    </row>
    <row r="2144">
      <c r="A2144" s="4" t="inlineStr">
        <is>
          <t>SERV-12140</t>
        </is>
      </c>
      <c r="B2144" s="5" t="inlineStr">
        <is>
          <t>Assistente Administrativo / Operacional</t>
        </is>
      </c>
      <c r="C2144" s="4" t="inlineStr">
        <is>
          <t>Efetivo Concursado</t>
        </is>
      </c>
      <c r="D2144" s="4" t="inlineStr">
        <is>
          <t>SEC-ADM</t>
        </is>
      </c>
      <c r="E2144" s="6" t="n">
        <v>3324.91</v>
      </c>
      <c r="F2144" s="6">
        <f>E2144*0.22</f>
        <v/>
      </c>
      <c r="G2144" s="6">
        <f>E2144+F2144</f>
        <v/>
      </c>
      <c r="H2144" s="10" t="n">
        <v>9</v>
      </c>
      <c r="I2144" s="7">
        <f>H2144/(180*0.714)</f>
        <v/>
      </c>
    </row>
    <row r="2145">
      <c r="A2145" s="4" t="inlineStr">
        <is>
          <t>SERV-12141</t>
        </is>
      </c>
      <c r="B2145" s="5" t="inlineStr">
        <is>
          <t>Assistente Administrativo / Operacional</t>
        </is>
      </c>
      <c r="C2145" s="4" t="inlineStr">
        <is>
          <t>Efetivo Concursado</t>
        </is>
      </c>
      <c r="D2145" s="4" t="inlineStr">
        <is>
          <t>SEC-ADM</t>
        </is>
      </c>
      <c r="E2145" s="6" t="n">
        <v>3085.39</v>
      </c>
      <c r="F2145" s="6">
        <f>E2145*0.22</f>
        <v/>
      </c>
      <c r="G2145" s="6">
        <f>E2145+F2145</f>
        <v/>
      </c>
      <c r="H2145" s="10" t="n">
        <v>5</v>
      </c>
      <c r="I2145" s="7">
        <f>H2145/(180*0.714)</f>
        <v/>
      </c>
    </row>
    <row r="2146">
      <c r="A2146" s="4" t="inlineStr">
        <is>
          <t>SERV-12142</t>
        </is>
      </c>
      <c r="B2146" s="5" t="inlineStr">
        <is>
          <t>Assistente Administrativo / Operacional</t>
        </is>
      </c>
      <c r="C2146" s="4" t="inlineStr">
        <is>
          <t>Efetivo Concursado</t>
        </is>
      </c>
      <c r="D2146" s="4" t="inlineStr">
        <is>
          <t>SEC-ADM</t>
        </is>
      </c>
      <c r="E2146" s="6" t="n">
        <v>3157.18</v>
      </c>
      <c r="F2146" s="6">
        <f>E2146*0.22</f>
        <v/>
      </c>
      <c r="G2146" s="6">
        <f>E2146+F2146</f>
        <v/>
      </c>
      <c r="H2146" s="10" t="n">
        <v>8</v>
      </c>
      <c r="I2146" s="7">
        <f>H2146/(180*0.714)</f>
        <v/>
      </c>
    </row>
    <row r="2147">
      <c r="A2147" s="4" t="inlineStr">
        <is>
          <t>SERV-12143</t>
        </is>
      </c>
      <c r="B2147" s="5" t="inlineStr">
        <is>
          <t>Assistente Administrativo / Operacional</t>
        </is>
      </c>
      <c r="C2147" s="4" t="inlineStr">
        <is>
          <t>Efetivo Concursado</t>
        </is>
      </c>
      <c r="D2147" s="4" t="inlineStr">
        <is>
          <t>SEC-ADM</t>
        </is>
      </c>
      <c r="E2147" s="6" t="n">
        <v>3094.6</v>
      </c>
      <c r="F2147" s="6">
        <f>E2147*0.22</f>
        <v/>
      </c>
      <c r="G2147" s="6">
        <f>E2147+F2147</f>
        <v/>
      </c>
      <c r="H2147" s="10" t="n">
        <v>6</v>
      </c>
      <c r="I2147" s="7">
        <f>H2147/(180*0.714)</f>
        <v/>
      </c>
    </row>
    <row r="2148">
      <c r="A2148" s="4" t="inlineStr">
        <is>
          <t>SERV-12144</t>
        </is>
      </c>
      <c r="B2148" s="5" t="inlineStr">
        <is>
          <t>Assistente Administrativo / Operacional</t>
        </is>
      </c>
      <c r="C2148" s="4" t="inlineStr">
        <is>
          <t>Efetivo Concursado</t>
        </is>
      </c>
      <c r="D2148" s="4" t="inlineStr">
        <is>
          <t>SEC-ADM</t>
        </is>
      </c>
      <c r="E2148" s="6" t="n">
        <v>3461.85</v>
      </c>
      <c r="F2148" s="6">
        <f>E2148*0.22</f>
        <v/>
      </c>
      <c r="G2148" s="6">
        <f>E2148+F2148</f>
        <v/>
      </c>
      <c r="H2148" s="10" t="n">
        <v>6</v>
      </c>
      <c r="I2148" s="7">
        <f>H2148/(180*0.714)</f>
        <v/>
      </c>
    </row>
    <row r="2149">
      <c r="A2149" s="4" t="inlineStr">
        <is>
          <t>SERV-12145</t>
        </is>
      </c>
      <c r="B2149" s="5" t="inlineStr">
        <is>
          <t>Assistente Administrativo / Operacional</t>
        </is>
      </c>
      <c r="C2149" s="4" t="inlineStr">
        <is>
          <t>Efetivo Concursado</t>
        </is>
      </c>
      <c r="D2149" s="4" t="inlineStr">
        <is>
          <t>SEC-ADM</t>
        </is>
      </c>
      <c r="E2149" s="6" t="n">
        <v>3470.77</v>
      </c>
      <c r="F2149" s="6">
        <f>E2149*0.22</f>
        <v/>
      </c>
      <c r="G2149" s="6">
        <f>E2149+F2149</f>
        <v/>
      </c>
      <c r="H2149" s="10" t="n">
        <v>12</v>
      </c>
      <c r="I2149" s="7">
        <f>H2149/(180*0.714)</f>
        <v/>
      </c>
    </row>
    <row r="2150">
      <c r="A2150" s="4" t="inlineStr">
        <is>
          <t>SERV-12146</t>
        </is>
      </c>
      <c r="B2150" s="5" t="inlineStr">
        <is>
          <t>Assistente Administrativo / Operacional</t>
        </is>
      </c>
      <c r="C2150" s="4" t="inlineStr">
        <is>
          <t>Efetivo Concursado</t>
        </is>
      </c>
      <c r="D2150" s="4" t="inlineStr">
        <is>
          <t>SEC-ADM</t>
        </is>
      </c>
      <c r="E2150" s="6" t="n">
        <v>3257.66</v>
      </c>
      <c r="F2150" s="6">
        <f>E2150*0.22</f>
        <v/>
      </c>
      <c r="G2150" s="6">
        <f>E2150+F2150</f>
        <v/>
      </c>
      <c r="H2150" s="10" t="n">
        <v>9</v>
      </c>
      <c r="I2150" s="7">
        <f>H2150/(180*0.714)</f>
        <v/>
      </c>
    </row>
    <row r="2151">
      <c r="A2151" s="4" t="inlineStr">
        <is>
          <t>SERV-12147</t>
        </is>
      </c>
      <c r="B2151" s="5" t="inlineStr">
        <is>
          <t>Assistente Administrativo / Operacional</t>
        </is>
      </c>
      <c r="C2151" s="4" t="inlineStr">
        <is>
          <t>Efetivo Concursado</t>
        </is>
      </c>
      <c r="D2151" s="4" t="inlineStr">
        <is>
          <t>SEC-ADM</t>
        </is>
      </c>
      <c r="E2151" s="6" t="n">
        <v>2989.06</v>
      </c>
      <c r="F2151" s="6">
        <f>E2151*0.22</f>
        <v/>
      </c>
      <c r="G2151" s="6">
        <f>E2151+F2151</f>
        <v/>
      </c>
      <c r="H2151" s="10" t="n">
        <v>14</v>
      </c>
      <c r="I2151" s="7">
        <f>H2151/(180*0.714)</f>
        <v/>
      </c>
    </row>
    <row r="2152">
      <c r="A2152" s="4" t="inlineStr">
        <is>
          <t>SERV-12148</t>
        </is>
      </c>
      <c r="B2152" s="5" t="inlineStr">
        <is>
          <t>Assistente Administrativo / Operacional</t>
        </is>
      </c>
      <c r="C2152" s="4" t="inlineStr">
        <is>
          <t>Efetivo Concursado</t>
        </is>
      </c>
      <c r="D2152" s="4" t="inlineStr">
        <is>
          <t>SEC-ADM</t>
        </is>
      </c>
      <c r="E2152" s="6" t="n">
        <v>3439.5</v>
      </c>
      <c r="F2152" s="6">
        <f>E2152*0.22</f>
        <v/>
      </c>
      <c r="G2152" s="6">
        <f>E2152+F2152</f>
        <v/>
      </c>
      <c r="H2152" s="10" t="n">
        <v>8</v>
      </c>
      <c r="I2152" s="7">
        <f>H2152/(180*0.714)</f>
        <v/>
      </c>
    </row>
    <row r="2153">
      <c r="A2153" s="4" t="inlineStr">
        <is>
          <t>SERV-12149</t>
        </is>
      </c>
      <c r="B2153" s="5" t="inlineStr">
        <is>
          <t>Assistente Administrativo / Operacional</t>
        </is>
      </c>
      <c r="C2153" s="4" t="inlineStr">
        <is>
          <t>Efetivo Concursado</t>
        </is>
      </c>
      <c r="D2153" s="4" t="inlineStr">
        <is>
          <t>SEC-ADM</t>
        </is>
      </c>
      <c r="E2153" s="6" t="n">
        <v>3167.61</v>
      </c>
      <c r="F2153" s="6">
        <f>E2153*0.22</f>
        <v/>
      </c>
      <c r="G2153" s="6">
        <f>E2153+F2153</f>
        <v/>
      </c>
      <c r="H2153" s="10" t="n">
        <v>11</v>
      </c>
      <c r="I2153" s="7">
        <f>H2153/(180*0.714)</f>
        <v/>
      </c>
    </row>
    <row r="2154">
      <c r="A2154" s="4" t="inlineStr">
        <is>
          <t>SERV-12150</t>
        </is>
      </c>
      <c r="B2154" s="5" t="inlineStr">
        <is>
          <t>Assistente Administrativo / Operacional</t>
        </is>
      </c>
      <c r="C2154" s="4" t="inlineStr">
        <is>
          <t>Efetivo Concursado</t>
        </is>
      </c>
      <c r="D2154" s="4" t="inlineStr">
        <is>
          <t>SEC-ADM</t>
        </is>
      </c>
      <c r="E2154" s="6" t="n">
        <v>3215.69</v>
      </c>
      <c r="F2154" s="6">
        <f>E2154*0.22</f>
        <v/>
      </c>
      <c r="G2154" s="6">
        <f>E2154+F2154</f>
        <v/>
      </c>
      <c r="H2154" s="10" t="n">
        <v>11</v>
      </c>
      <c r="I2154" s="7">
        <f>H2154/(180*0.714)</f>
        <v/>
      </c>
    </row>
    <row r="2155">
      <c r="A2155" s="4" t="inlineStr">
        <is>
          <t>SERV-12151</t>
        </is>
      </c>
      <c r="B2155" s="5" t="inlineStr">
        <is>
          <t>Assistente Administrativo / Operacional</t>
        </is>
      </c>
      <c r="C2155" s="4" t="inlineStr">
        <is>
          <t>Efetivo Concursado</t>
        </is>
      </c>
      <c r="D2155" s="4" t="inlineStr">
        <is>
          <t>SEC-ADM</t>
        </is>
      </c>
      <c r="E2155" s="6" t="n">
        <v>3228.92</v>
      </c>
      <c r="F2155" s="6">
        <f>E2155*0.22</f>
        <v/>
      </c>
      <c r="G2155" s="6">
        <f>E2155+F2155</f>
        <v/>
      </c>
      <c r="H2155" s="10" t="n">
        <v>11</v>
      </c>
      <c r="I2155" s="7">
        <f>H2155/(180*0.714)</f>
        <v/>
      </c>
    </row>
    <row r="2156">
      <c r="A2156" s="4" t="inlineStr">
        <is>
          <t>SERV-12152</t>
        </is>
      </c>
      <c r="B2156" s="5" t="inlineStr">
        <is>
          <t>Assistente Administrativo / Operacional</t>
        </is>
      </c>
      <c r="C2156" s="4" t="inlineStr">
        <is>
          <t>Efetivo Concursado</t>
        </is>
      </c>
      <c r="D2156" s="4" t="inlineStr">
        <is>
          <t>SEC-ADM</t>
        </is>
      </c>
      <c r="E2156" s="6" t="n">
        <v>3287.95</v>
      </c>
      <c r="F2156" s="6">
        <f>E2156*0.22</f>
        <v/>
      </c>
      <c r="G2156" s="6">
        <f>E2156+F2156</f>
        <v/>
      </c>
      <c r="H2156" s="10" t="n">
        <v>12</v>
      </c>
      <c r="I2156" s="7">
        <f>H2156/(180*0.714)</f>
        <v/>
      </c>
    </row>
    <row r="2157">
      <c r="A2157" s="4" t="inlineStr">
        <is>
          <t>SERV-12153</t>
        </is>
      </c>
      <c r="B2157" s="5" t="inlineStr">
        <is>
          <t>Assistente Administrativo / Operacional</t>
        </is>
      </c>
      <c r="C2157" s="4" t="inlineStr">
        <is>
          <t>Efetivo Concursado</t>
        </is>
      </c>
      <c r="D2157" s="4" t="inlineStr">
        <is>
          <t>SEC-ADM</t>
        </is>
      </c>
      <c r="E2157" s="6" t="n">
        <v>3150.71</v>
      </c>
      <c r="F2157" s="6">
        <f>E2157*0.22</f>
        <v/>
      </c>
      <c r="G2157" s="6">
        <f>E2157+F2157</f>
        <v/>
      </c>
      <c r="H2157" s="10" t="n">
        <v>11</v>
      </c>
      <c r="I2157" s="7">
        <f>H2157/(180*0.714)</f>
        <v/>
      </c>
    </row>
    <row r="2158">
      <c r="A2158" s="4" t="inlineStr">
        <is>
          <t>SERV-12154</t>
        </is>
      </c>
      <c r="B2158" s="5" t="inlineStr">
        <is>
          <t>Assistente Administrativo / Operacional</t>
        </is>
      </c>
      <c r="C2158" s="4" t="inlineStr">
        <is>
          <t>Efetivo Concursado</t>
        </is>
      </c>
      <c r="D2158" s="4" t="inlineStr">
        <is>
          <t>SEC-ADM</t>
        </is>
      </c>
      <c r="E2158" s="6" t="n">
        <v>2990.15</v>
      </c>
      <c r="F2158" s="6">
        <f>E2158*0.22</f>
        <v/>
      </c>
      <c r="G2158" s="6">
        <f>E2158+F2158</f>
        <v/>
      </c>
      <c r="H2158" s="10" t="n">
        <v>5</v>
      </c>
      <c r="I2158" s="7">
        <f>H2158/(180*0.714)</f>
        <v/>
      </c>
    </row>
    <row r="2159">
      <c r="A2159" s="4" t="inlineStr">
        <is>
          <t>SERV-12155</t>
        </is>
      </c>
      <c r="B2159" s="5" t="inlineStr">
        <is>
          <t>Assistente Administrativo / Operacional</t>
        </is>
      </c>
      <c r="C2159" s="4" t="inlineStr">
        <is>
          <t>Efetivo Concursado</t>
        </is>
      </c>
      <c r="D2159" s="4" t="inlineStr">
        <is>
          <t>SEC-ADM</t>
        </is>
      </c>
      <c r="E2159" s="6" t="n">
        <v>3171.5</v>
      </c>
      <c r="F2159" s="6">
        <f>E2159*0.22</f>
        <v/>
      </c>
      <c r="G2159" s="6">
        <f>E2159+F2159</f>
        <v/>
      </c>
      <c r="H2159" s="10" t="n">
        <v>8</v>
      </c>
      <c r="I2159" s="7">
        <f>H2159/(180*0.714)</f>
        <v/>
      </c>
    </row>
    <row r="2160">
      <c r="A2160" s="4" t="inlineStr">
        <is>
          <t>SERV-12156</t>
        </is>
      </c>
      <c r="B2160" s="5" t="inlineStr">
        <is>
          <t>Assistente Administrativo / Operacional</t>
        </is>
      </c>
      <c r="C2160" s="4" t="inlineStr">
        <is>
          <t>Efetivo Concursado</t>
        </is>
      </c>
      <c r="D2160" s="4" t="inlineStr">
        <is>
          <t>SEC-ADM</t>
        </is>
      </c>
      <c r="E2160" s="6" t="n">
        <v>2910.63</v>
      </c>
      <c r="F2160" s="6">
        <f>E2160*0.22</f>
        <v/>
      </c>
      <c r="G2160" s="6">
        <f>E2160+F2160</f>
        <v/>
      </c>
      <c r="H2160" s="10" t="n">
        <v>12</v>
      </c>
      <c r="I2160" s="7">
        <f>H2160/(180*0.714)</f>
        <v/>
      </c>
    </row>
    <row r="2161">
      <c r="A2161" s="4" t="inlineStr">
        <is>
          <t>SERV-12157</t>
        </is>
      </c>
      <c r="B2161" s="5" t="inlineStr">
        <is>
          <t>Assistente Administrativo / Operacional</t>
        </is>
      </c>
      <c r="C2161" s="4" t="inlineStr">
        <is>
          <t>Efetivo Concursado</t>
        </is>
      </c>
      <c r="D2161" s="4" t="inlineStr">
        <is>
          <t>SEC-ADM</t>
        </is>
      </c>
      <c r="E2161" s="6" t="n">
        <v>3231.87</v>
      </c>
      <c r="F2161" s="6">
        <f>E2161*0.22</f>
        <v/>
      </c>
      <c r="G2161" s="6">
        <f>E2161+F2161</f>
        <v/>
      </c>
      <c r="H2161" s="10" t="n">
        <v>9</v>
      </c>
      <c r="I2161" s="7">
        <f>H2161/(180*0.714)</f>
        <v/>
      </c>
    </row>
    <row r="2162">
      <c r="A2162" s="4" t="inlineStr">
        <is>
          <t>SERV-12158</t>
        </is>
      </c>
      <c r="B2162" s="5" t="inlineStr">
        <is>
          <t>Assistente Administrativo / Operacional</t>
        </is>
      </c>
      <c r="C2162" s="4" t="inlineStr">
        <is>
          <t>Efetivo Concursado</t>
        </is>
      </c>
      <c r="D2162" s="4" t="inlineStr">
        <is>
          <t>SEC-ADM</t>
        </is>
      </c>
      <c r="E2162" s="6" t="n">
        <v>3145.89</v>
      </c>
      <c r="F2162" s="6">
        <f>E2162*0.22</f>
        <v/>
      </c>
      <c r="G2162" s="6">
        <f>E2162+F2162</f>
        <v/>
      </c>
      <c r="H2162" s="10" t="n">
        <v>14</v>
      </c>
      <c r="I2162" s="7">
        <f>H2162/(180*0.714)</f>
        <v/>
      </c>
    </row>
    <row r="2163">
      <c r="A2163" s="4" t="inlineStr">
        <is>
          <t>SERV-12159</t>
        </is>
      </c>
      <c r="B2163" s="5" t="inlineStr">
        <is>
          <t>Assistente Administrativo / Operacional</t>
        </is>
      </c>
      <c r="C2163" s="4" t="inlineStr">
        <is>
          <t>Efetivo Concursado</t>
        </is>
      </c>
      <c r="D2163" s="4" t="inlineStr">
        <is>
          <t>SEC-ADM</t>
        </is>
      </c>
      <c r="E2163" s="6" t="n">
        <v>2898.75</v>
      </c>
      <c r="F2163" s="6">
        <f>E2163*0.22</f>
        <v/>
      </c>
      <c r="G2163" s="6">
        <f>E2163+F2163</f>
        <v/>
      </c>
      <c r="H2163" s="10" t="n">
        <v>8</v>
      </c>
      <c r="I2163" s="7">
        <f>H2163/(180*0.714)</f>
        <v/>
      </c>
    </row>
    <row r="2164">
      <c r="A2164" s="4" t="inlineStr">
        <is>
          <t>SERV-12160</t>
        </is>
      </c>
      <c r="B2164" s="5" t="inlineStr">
        <is>
          <t>Assistente Administrativo / Operacional</t>
        </is>
      </c>
      <c r="C2164" s="4" t="inlineStr">
        <is>
          <t>Efetivo Concursado</t>
        </is>
      </c>
      <c r="D2164" s="4" t="inlineStr">
        <is>
          <t>SEC-ADM</t>
        </is>
      </c>
      <c r="E2164" s="6" t="n">
        <v>3130.51</v>
      </c>
      <c r="F2164" s="6">
        <f>E2164*0.22</f>
        <v/>
      </c>
      <c r="G2164" s="6">
        <f>E2164+F2164</f>
        <v/>
      </c>
      <c r="H2164" s="10" t="n">
        <v>13</v>
      </c>
      <c r="I2164" s="7">
        <f>H2164/(180*0.714)</f>
        <v/>
      </c>
    </row>
    <row r="2165">
      <c r="A2165" s="4" t="inlineStr">
        <is>
          <t>SERV-12161</t>
        </is>
      </c>
      <c r="B2165" s="5" t="inlineStr">
        <is>
          <t>Assistente Administrativo / Operacional</t>
        </is>
      </c>
      <c r="C2165" s="4" t="inlineStr">
        <is>
          <t>Efetivo Concursado</t>
        </is>
      </c>
      <c r="D2165" s="4" t="inlineStr">
        <is>
          <t>SEC-ADM</t>
        </is>
      </c>
      <c r="E2165" s="6" t="n">
        <v>3187.87</v>
      </c>
      <c r="F2165" s="6">
        <f>E2165*0.22</f>
        <v/>
      </c>
      <c r="G2165" s="6">
        <f>E2165+F2165</f>
        <v/>
      </c>
      <c r="H2165" s="10" t="n">
        <v>10</v>
      </c>
      <c r="I2165" s="7">
        <f>H2165/(180*0.714)</f>
        <v/>
      </c>
    </row>
    <row r="2166">
      <c r="A2166" s="4" t="inlineStr">
        <is>
          <t>SERV-12162</t>
        </is>
      </c>
      <c r="B2166" s="5" t="inlineStr">
        <is>
          <t>Assistente Administrativo / Operacional</t>
        </is>
      </c>
      <c r="C2166" s="4" t="inlineStr">
        <is>
          <t>Efetivo Concursado</t>
        </is>
      </c>
      <c r="D2166" s="4" t="inlineStr">
        <is>
          <t>SEC-ADM</t>
        </is>
      </c>
      <c r="E2166" s="6" t="n">
        <v>3234.43</v>
      </c>
      <c r="F2166" s="6">
        <f>E2166*0.22</f>
        <v/>
      </c>
      <c r="G2166" s="6">
        <f>E2166+F2166</f>
        <v/>
      </c>
      <c r="H2166" s="10" t="n">
        <v>3</v>
      </c>
      <c r="I2166" s="7">
        <f>H2166/(180*0.714)</f>
        <v/>
      </c>
    </row>
    <row r="2167">
      <c r="A2167" s="4" t="inlineStr">
        <is>
          <t>SERV-12163</t>
        </is>
      </c>
      <c r="B2167" s="5" t="inlineStr">
        <is>
          <t>Assistente Administrativo / Operacional</t>
        </is>
      </c>
      <c r="C2167" s="4" t="inlineStr">
        <is>
          <t>Efetivo Concursado</t>
        </is>
      </c>
      <c r="D2167" s="4" t="inlineStr">
        <is>
          <t>SEC-ADM</t>
        </is>
      </c>
      <c r="E2167" s="6" t="n">
        <v>3411.29</v>
      </c>
      <c r="F2167" s="6">
        <f>E2167*0.22</f>
        <v/>
      </c>
      <c r="G2167" s="6">
        <f>E2167+F2167</f>
        <v/>
      </c>
      <c r="H2167" s="10" t="n">
        <v>14</v>
      </c>
      <c r="I2167" s="7">
        <f>H2167/(180*0.714)</f>
        <v/>
      </c>
    </row>
    <row r="2168">
      <c r="A2168" s="4" t="inlineStr">
        <is>
          <t>SERV-12164</t>
        </is>
      </c>
      <c r="B2168" s="5" t="inlineStr">
        <is>
          <t>Assistente Administrativo / Operacional</t>
        </is>
      </c>
      <c r="C2168" s="4" t="inlineStr">
        <is>
          <t>Efetivo Concursado</t>
        </is>
      </c>
      <c r="D2168" s="4" t="inlineStr">
        <is>
          <t>SEC-ADM</t>
        </is>
      </c>
      <c r="E2168" s="6" t="n">
        <v>3392.59</v>
      </c>
      <c r="F2168" s="6">
        <f>E2168*0.22</f>
        <v/>
      </c>
      <c r="G2168" s="6">
        <f>E2168+F2168</f>
        <v/>
      </c>
      <c r="H2168" s="10" t="n">
        <v>5</v>
      </c>
      <c r="I2168" s="7">
        <f>H2168/(180*0.714)</f>
        <v/>
      </c>
    </row>
    <row r="2169">
      <c r="A2169" s="4" t="inlineStr">
        <is>
          <t>SERV-12165</t>
        </is>
      </c>
      <c r="B2169" s="5" t="inlineStr">
        <is>
          <t>Assistente Administrativo / Operacional</t>
        </is>
      </c>
      <c r="C2169" s="4" t="inlineStr">
        <is>
          <t>Efetivo Concursado</t>
        </is>
      </c>
      <c r="D2169" s="4" t="inlineStr">
        <is>
          <t>SEC-ADM</t>
        </is>
      </c>
      <c r="E2169" s="6" t="n">
        <v>2992.27</v>
      </c>
      <c r="F2169" s="6">
        <f>E2169*0.22</f>
        <v/>
      </c>
      <c r="G2169" s="6">
        <f>E2169+F2169</f>
        <v/>
      </c>
      <c r="H2169" s="10" t="n">
        <v>9</v>
      </c>
      <c r="I2169" s="7">
        <f>H2169/(180*0.714)</f>
        <v/>
      </c>
    </row>
    <row r="2170">
      <c r="A2170" s="4" t="inlineStr">
        <is>
          <t>SERV-12166</t>
        </is>
      </c>
      <c r="B2170" s="5" t="inlineStr">
        <is>
          <t>Assistente Administrativo / Operacional</t>
        </is>
      </c>
      <c r="C2170" s="4" t="inlineStr">
        <is>
          <t>Efetivo Concursado</t>
        </is>
      </c>
      <c r="D2170" s="4" t="inlineStr">
        <is>
          <t>SEC-ADM</t>
        </is>
      </c>
      <c r="E2170" s="6" t="n">
        <v>3396.87</v>
      </c>
      <c r="F2170" s="6">
        <f>E2170*0.22</f>
        <v/>
      </c>
      <c r="G2170" s="6">
        <f>E2170+F2170</f>
        <v/>
      </c>
      <c r="H2170" s="10" t="n">
        <v>3</v>
      </c>
      <c r="I2170" s="7">
        <f>H2170/(180*0.714)</f>
        <v/>
      </c>
    </row>
    <row r="2171">
      <c r="A2171" s="4" t="inlineStr">
        <is>
          <t>SERV-12167</t>
        </is>
      </c>
      <c r="B2171" s="5" t="inlineStr">
        <is>
          <t>Assistente Administrativo / Operacional</t>
        </is>
      </c>
      <c r="C2171" s="4" t="inlineStr">
        <is>
          <t>Efetivo Concursado</t>
        </is>
      </c>
      <c r="D2171" s="4" t="inlineStr">
        <is>
          <t>SEC-ADM</t>
        </is>
      </c>
      <c r="E2171" s="6" t="n">
        <v>2894.59</v>
      </c>
      <c r="F2171" s="6">
        <f>E2171*0.22</f>
        <v/>
      </c>
      <c r="G2171" s="6">
        <f>E2171+F2171</f>
        <v/>
      </c>
      <c r="H2171" s="10" t="n">
        <v>14</v>
      </c>
      <c r="I2171" s="7">
        <f>H2171/(180*0.714)</f>
        <v/>
      </c>
    </row>
    <row r="2172">
      <c r="A2172" s="4" t="inlineStr">
        <is>
          <t>SERV-12168</t>
        </is>
      </c>
      <c r="B2172" s="5" t="inlineStr">
        <is>
          <t>Assistente Administrativo / Operacional</t>
        </is>
      </c>
      <c r="C2172" s="4" t="inlineStr">
        <is>
          <t>Efetivo Concursado</t>
        </is>
      </c>
      <c r="D2172" s="4" t="inlineStr">
        <is>
          <t>SEC-ADM</t>
        </is>
      </c>
      <c r="E2172" s="6" t="n">
        <v>2855.1</v>
      </c>
      <c r="F2172" s="6">
        <f>E2172*0.22</f>
        <v/>
      </c>
      <c r="G2172" s="6">
        <f>E2172+F2172</f>
        <v/>
      </c>
      <c r="H2172" s="10" t="n">
        <v>13</v>
      </c>
      <c r="I2172" s="7">
        <f>H2172/(180*0.714)</f>
        <v/>
      </c>
    </row>
    <row r="2173">
      <c r="A2173" s="4" t="inlineStr">
        <is>
          <t>SERV-12169</t>
        </is>
      </c>
      <c r="B2173" s="5" t="inlineStr">
        <is>
          <t>Assistente Administrativo / Operacional</t>
        </is>
      </c>
      <c r="C2173" s="4" t="inlineStr">
        <is>
          <t>Efetivo Concursado</t>
        </is>
      </c>
      <c r="D2173" s="4" t="inlineStr">
        <is>
          <t>SEC-ADM</t>
        </is>
      </c>
      <c r="E2173" s="6" t="n">
        <v>3176.38</v>
      </c>
      <c r="F2173" s="6">
        <f>E2173*0.22</f>
        <v/>
      </c>
      <c r="G2173" s="6">
        <f>E2173+F2173</f>
        <v/>
      </c>
      <c r="H2173" s="10" t="n">
        <v>13</v>
      </c>
      <c r="I2173" s="7">
        <f>H2173/(180*0.714)</f>
        <v/>
      </c>
    </row>
    <row r="2174">
      <c r="A2174" s="4" t="inlineStr">
        <is>
          <t>SERV-12170</t>
        </is>
      </c>
      <c r="B2174" s="5" t="inlineStr">
        <is>
          <t>Assistente Administrativo / Operacional</t>
        </is>
      </c>
      <c r="C2174" s="4" t="inlineStr">
        <is>
          <t>Efetivo Concursado</t>
        </is>
      </c>
      <c r="D2174" s="4" t="inlineStr">
        <is>
          <t>SEC-ADM</t>
        </is>
      </c>
      <c r="E2174" s="6" t="n">
        <v>3092.13</v>
      </c>
      <c r="F2174" s="6">
        <f>E2174*0.22</f>
        <v/>
      </c>
      <c r="G2174" s="6">
        <f>E2174+F2174</f>
        <v/>
      </c>
      <c r="H2174" s="10" t="n">
        <v>12</v>
      </c>
      <c r="I2174" s="7">
        <f>H2174/(180*0.714)</f>
        <v/>
      </c>
    </row>
    <row r="2175">
      <c r="A2175" s="4" t="inlineStr">
        <is>
          <t>SERV-12171</t>
        </is>
      </c>
      <c r="B2175" s="5" t="inlineStr">
        <is>
          <t>Assistente Administrativo / Operacional</t>
        </is>
      </c>
      <c r="C2175" s="4" t="inlineStr">
        <is>
          <t>Efetivo Concursado</t>
        </is>
      </c>
      <c r="D2175" s="4" t="inlineStr">
        <is>
          <t>SEC-ADM</t>
        </is>
      </c>
      <c r="E2175" s="6" t="n">
        <v>2975.92</v>
      </c>
      <c r="F2175" s="6">
        <f>E2175*0.22</f>
        <v/>
      </c>
      <c r="G2175" s="6">
        <f>E2175+F2175</f>
        <v/>
      </c>
      <c r="H2175" s="10" t="n">
        <v>3</v>
      </c>
      <c r="I2175" s="7">
        <f>H2175/(180*0.714)</f>
        <v/>
      </c>
    </row>
    <row r="2176">
      <c r="A2176" s="4" t="inlineStr">
        <is>
          <t>SERV-12172</t>
        </is>
      </c>
      <c r="B2176" s="5" t="inlineStr">
        <is>
          <t>Assistente Administrativo / Operacional</t>
        </is>
      </c>
      <c r="C2176" s="4" t="inlineStr">
        <is>
          <t>Efetivo Concursado</t>
        </is>
      </c>
      <c r="D2176" s="4" t="inlineStr">
        <is>
          <t>SEC-ADM</t>
        </is>
      </c>
      <c r="E2176" s="6" t="n">
        <v>3435.6</v>
      </c>
      <c r="F2176" s="6">
        <f>E2176*0.22</f>
        <v/>
      </c>
      <c r="G2176" s="6">
        <f>E2176+F2176</f>
        <v/>
      </c>
      <c r="H2176" s="10" t="n">
        <v>11</v>
      </c>
      <c r="I2176" s="7">
        <f>H2176/(180*0.714)</f>
        <v/>
      </c>
    </row>
    <row r="2177">
      <c r="A2177" s="4" t="inlineStr">
        <is>
          <t>SERV-12173</t>
        </is>
      </c>
      <c r="B2177" s="5" t="inlineStr">
        <is>
          <t>Assistente Administrativo / Operacional</t>
        </is>
      </c>
      <c r="C2177" s="4" t="inlineStr">
        <is>
          <t>Efetivo Concursado</t>
        </is>
      </c>
      <c r="D2177" s="4" t="inlineStr">
        <is>
          <t>SEC-ADM</t>
        </is>
      </c>
      <c r="E2177" s="6" t="n">
        <v>3039.03</v>
      </c>
      <c r="F2177" s="6">
        <f>E2177*0.22</f>
        <v/>
      </c>
      <c r="G2177" s="6">
        <f>E2177+F2177</f>
        <v/>
      </c>
      <c r="H2177" s="10" t="n">
        <v>8</v>
      </c>
      <c r="I2177" s="7">
        <f>H2177/(180*0.714)</f>
        <v/>
      </c>
    </row>
    <row r="2178">
      <c r="A2178" s="4" t="inlineStr">
        <is>
          <t>SERV-12174</t>
        </is>
      </c>
      <c r="B2178" s="5" t="inlineStr">
        <is>
          <t>Assistente Administrativo / Operacional</t>
        </is>
      </c>
      <c r="C2178" s="4" t="inlineStr">
        <is>
          <t>Efetivo Concursado</t>
        </is>
      </c>
      <c r="D2178" s="4" t="inlineStr">
        <is>
          <t>SEC-ADM</t>
        </is>
      </c>
      <c r="E2178" s="6" t="n">
        <v>3294.14</v>
      </c>
      <c r="F2178" s="6">
        <f>E2178*0.22</f>
        <v/>
      </c>
      <c r="G2178" s="6">
        <f>E2178+F2178</f>
        <v/>
      </c>
      <c r="H2178" s="10" t="n">
        <v>4</v>
      </c>
      <c r="I2178" s="7">
        <f>H2178/(180*0.714)</f>
        <v/>
      </c>
    </row>
    <row r="2179">
      <c r="A2179" s="4" t="inlineStr">
        <is>
          <t>SERV-12175</t>
        </is>
      </c>
      <c r="B2179" s="5" t="inlineStr">
        <is>
          <t>Assistente Administrativo / Operacional</t>
        </is>
      </c>
      <c r="C2179" s="4" t="inlineStr">
        <is>
          <t>Efetivo Concursado</t>
        </is>
      </c>
      <c r="D2179" s="4" t="inlineStr">
        <is>
          <t>SEC-ADM</t>
        </is>
      </c>
      <c r="E2179" s="6" t="n">
        <v>3326.65</v>
      </c>
      <c r="F2179" s="6">
        <f>E2179*0.22</f>
        <v/>
      </c>
      <c r="G2179" s="6">
        <f>E2179+F2179</f>
        <v/>
      </c>
      <c r="H2179" s="10" t="n">
        <v>9</v>
      </c>
      <c r="I2179" s="7">
        <f>H2179/(180*0.714)</f>
        <v/>
      </c>
    </row>
    <row r="2180">
      <c r="A2180" s="4" t="inlineStr">
        <is>
          <t>SERV-12176</t>
        </is>
      </c>
      <c r="B2180" s="5" t="inlineStr">
        <is>
          <t>Assistente Administrativo / Operacional</t>
        </is>
      </c>
      <c r="C2180" s="4" t="inlineStr">
        <is>
          <t>Efetivo Concursado</t>
        </is>
      </c>
      <c r="D2180" s="4" t="inlineStr">
        <is>
          <t>SEC-ADM</t>
        </is>
      </c>
      <c r="E2180" s="6" t="n">
        <v>3231.49</v>
      </c>
      <c r="F2180" s="6">
        <f>E2180*0.22</f>
        <v/>
      </c>
      <c r="G2180" s="6">
        <f>E2180+F2180</f>
        <v/>
      </c>
      <c r="H2180" s="10" t="n">
        <v>12</v>
      </c>
      <c r="I2180" s="7">
        <f>H2180/(180*0.714)</f>
        <v/>
      </c>
    </row>
    <row r="2181">
      <c r="A2181" s="4" t="inlineStr">
        <is>
          <t>SERV-12177</t>
        </is>
      </c>
      <c r="B2181" s="5" t="inlineStr">
        <is>
          <t>Assistente Administrativo / Operacional</t>
        </is>
      </c>
      <c r="C2181" s="4" t="inlineStr">
        <is>
          <t>Efetivo Concursado</t>
        </is>
      </c>
      <c r="D2181" s="4" t="inlineStr">
        <is>
          <t>SEC-ADM</t>
        </is>
      </c>
      <c r="E2181" s="6" t="n">
        <v>3072.77</v>
      </c>
      <c r="F2181" s="6">
        <f>E2181*0.22</f>
        <v/>
      </c>
      <c r="G2181" s="6">
        <f>E2181+F2181</f>
        <v/>
      </c>
      <c r="H2181" s="10" t="n">
        <v>5</v>
      </c>
      <c r="I2181" s="7">
        <f>H2181/(180*0.714)</f>
        <v/>
      </c>
    </row>
    <row r="2182">
      <c r="A2182" s="4" t="inlineStr">
        <is>
          <t>SERV-12178</t>
        </is>
      </c>
      <c r="B2182" s="5" t="inlineStr">
        <is>
          <t>Assistente Administrativo / Operacional</t>
        </is>
      </c>
      <c r="C2182" s="4" t="inlineStr">
        <is>
          <t>Efetivo Concursado</t>
        </is>
      </c>
      <c r="D2182" s="4" t="inlineStr">
        <is>
          <t>SEC-ADM</t>
        </is>
      </c>
      <c r="E2182" s="6" t="n">
        <v>3217.06</v>
      </c>
      <c r="F2182" s="6">
        <f>E2182*0.22</f>
        <v/>
      </c>
      <c r="G2182" s="6">
        <f>E2182+F2182</f>
        <v/>
      </c>
      <c r="H2182" s="10" t="n">
        <v>14</v>
      </c>
      <c r="I2182" s="7">
        <f>H2182/(180*0.714)</f>
        <v/>
      </c>
    </row>
    <row r="2183">
      <c r="A2183" s="4" t="inlineStr">
        <is>
          <t>SERV-12179</t>
        </is>
      </c>
      <c r="B2183" s="5" t="inlineStr">
        <is>
          <t>Assistente Administrativo / Operacional</t>
        </is>
      </c>
      <c r="C2183" s="4" t="inlineStr">
        <is>
          <t>Efetivo Concursado</t>
        </is>
      </c>
      <c r="D2183" s="4" t="inlineStr">
        <is>
          <t>SEC-ADM</t>
        </is>
      </c>
      <c r="E2183" s="6" t="n">
        <v>3296.02</v>
      </c>
      <c r="F2183" s="6">
        <f>E2183*0.22</f>
        <v/>
      </c>
      <c r="G2183" s="6">
        <f>E2183+F2183</f>
        <v/>
      </c>
      <c r="H2183" s="10" t="n">
        <v>5</v>
      </c>
      <c r="I2183" s="7">
        <f>H2183/(180*0.714)</f>
        <v/>
      </c>
    </row>
    <row r="2184">
      <c r="A2184" s="4" t="inlineStr">
        <is>
          <t>SERV-12180</t>
        </is>
      </c>
      <c r="B2184" s="5" t="inlineStr">
        <is>
          <t>Assistente Administrativo / Operacional</t>
        </is>
      </c>
      <c r="C2184" s="4" t="inlineStr">
        <is>
          <t>Efetivo Concursado</t>
        </is>
      </c>
      <c r="D2184" s="4" t="inlineStr">
        <is>
          <t>SEC-ADM</t>
        </is>
      </c>
      <c r="E2184" s="6" t="n">
        <v>3284.61</v>
      </c>
      <c r="F2184" s="6">
        <f>E2184*0.22</f>
        <v/>
      </c>
      <c r="G2184" s="6">
        <f>E2184+F2184</f>
        <v/>
      </c>
      <c r="H2184" s="10" t="n">
        <v>9</v>
      </c>
      <c r="I2184" s="7">
        <f>H2184/(180*0.714)</f>
        <v/>
      </c>
    </row>
    <row r="2185">
      <c r="A2185" s="4" t="inlineStr">
        <is>
          <t>SERV-12181</t>
        </is>
      </c>
      <c r="B2185" s="5" t="inlineStr">
        <is>
          <t>Assistente Administrativo / Operacional</t>
        </is>
      </c>
      <c r="C2185" s="4" t="inlineStr">
        <is>
          <t>Efetivo Concursado</t>
        </is>
      </c>
      <c r="D2185" s="4" t="inlineStr">
        <is>
          <t>SEC-ADM</t>
        </is>
      </c>
      <c r="E2185" s="6" t="n">
        <v>3103.57</v>
      </c>
      <c r="F2185" s="6">
        <f>E2185*0.22</f>
        <v/>
      </c>
      <c r="G2185" s="6">
        <f>E2185+F2185</f>
        <v/>
      </c>
      <c r="H2185" s="10" t="n">
        <v>5</v>
      </c>
      <c r="I2185" s="7">
        <f>H2185/(180*0.714)</f>
        <v/>
      </c>
    </row>
    <row r="2186">
      <c r="A2186" s="4" t="inlineStr">
        <is>
          <t>SERV-12182</t>
        </is>
      </c>
      <c r="B2186" s="5" t="inlineStr">
        <is>
          <t>Assistente Administrativo / Operacional</t>
        </is>
      </c>
      <c r="C2186" s="4" t="inlineStr">
        <is>
          <t>Efetivo Concursado</t>
        </is>
      </c>
      <c r="D2186" s="4" t="inlineStr">
        <is>
          <t>SEC-ADM</t>
        </is>
      </c>
      <c r="E2186" s="6" t="n">
        <v>3467.29</v>
      </c>
      <c r="F2186" s="6">
        <f>E2186*0.22</f>
        <v/>
      </c>
      <c r="G2186" s="6">
        <f>E2186+F2186</f>
        <v/>
      </c>
      <c r="H2186" s="10" t="n">
        <v>10</v>
      </c>
      <c r="I2186" s="7">
        <f>H2186/(180*0.714)</f>
        <v/>
      </c>
    </row>
    <row r="2187">
      <c r="A2187" s="4" t="inlineStr">
        <is>
          <t>SERV-12183</t>
        </is>
      </c>
      <c r="B2187" s="5" t="inlineStr">
        <is>
          <t>Assistente Administrativo / Operacional</t>
        </is>
      </c>
      <c r="C2187" s="4" t="inlineStr">
        <is>
          <t>Efetivo Concursado</t>
        </is>
      </c>
      <c r="D2187" s="4" t="inlineStr">
        <is>
          <t>SEC-ADM</t>
        </is>
      </c>
      <c r="E2187" s="6" t="n">
        <v>3463.62</v>
      </c>
      <c r="F2187" s="6">
        <f>E2187*0.22</f>
        <v/>
      </c>
      <c r="G2187" s="6">
        <f>E2187+F2187</f>
        <v/>
      </c>
      <c r="H2187" s="10" t="n">
        <v>8</v>
      </c>
      <c r="I2187" s="7">
        <f>H2187/(180*0.714)</f>
        <v/>
      </c>
    </row>
    <row r="2188">
      <c r="A2188" s="4" t="inlineStr">
        <is>
          <t>SERV-12184</t>
        </is>
      </c>
      <c r="B2188" s="5" t="inlineStr">
        <is>
          <t>Assistente Administrativo / Operacional</t>
        </is>
      </c>
      <c r="C2188" s="4" t="inlineStr">
        <is>
          <t>Efetivo Concursado</t>
        </is>
      </c>
      <c r="D2188" s="4" t="inlineStr">
        <is>
          <t>SEC-ADM</t>
        </is>
      </c>
      <c r="E2188" s="6" t="n">
        <v>3260.27</v>
      </c>
      <c r="F2188" s="6">
        <f>E2188*0.22</f>
        <v/>
      </c>
      <c r="G2188" s="6">
        <f>E2188+F2188</f>
        <v/>
      </c>
      <c r="H2188" s="10" t="n">
        <v>11</v>
      </c>
      <c r="I2188" s="7">
        <f>H2188/(180*0.714)</f>
        <v/>
      </c>
    </row>
    <row r="2189">
      <c r="A2189" s="4" t="inlineStr">
        <is>
          <t>SERV-12185</t>
        </is>
      </c>
      <c r="B2189" s="5" t="inlineStr">
        <is>
          <t>Assistente Administrativo / Operacional</t>
        </is>
      </c>
      <c r="C2189" s="4" t="inlineStr">
        <is>
          <t>Efetivo Concursado</t>
        </is>
      </c>
      <c r="D2189" s="4" t="inlineStr">
        <is>
          <t>SEC-ADM</t>
        </is>
      </c>
      <c r="E2189" s="6" t="n">
        <v>3465.95</v>
      </c>
      <c r="F2189" s="6">
        <f>E2189*0.22</f>
        <v/>
      </c>
      <c r="G2189" s="6">
        <f>E2189+F2189</f>
        <v/>
      </c>
      <c r="H2189" s="10" t="n">
        <v>7</v>
      </c>
      <c r="I2189" s="7">
        <f>H2189/(180*0.714)</f>
        <v/>
      </c>
    </row>
    <row r="2190">
      <c r="A2190" s="4" t="inlineStr">
        <is>
          <t>SERV-12186</t>
        </is>
      </c>
      <c r="B2190" s="5" t="inlineStr">
        <is>
          <t>Assistente Administrativo / Operacional</t>
        </is>
      </c>
      <c r="C2190" s="4" t="inlineStr">
        <is>
          <t>Efetivo Concursado</t>
        </is>
      </c>
      <c r="D2190" s="4" t="inlineStr">
        <is>
          <t>SEC-ADM</t>
        </is>
      </c>
      <c r="E2190" s="6" t="n">
        <v>3260.33</v>
      </c>
      <c r="F2190" s="6">
        <f>E2190*0.22</f>
        <v/>
      </c>
      <c r="G2190" s="6">
        <f>E2190+F2190</f>
        <v/>
      </c>
      <c r="H2190" s="10" t="n">
        <v>10</v>
      </c>
      <c r="I2190" s="7">
        <f>H2190/(180*0.714)</f>
        <v/>
      </c>
    </row>
    <row r="2191">
      <c r="A2191" s="4" t="inlineStr">
        <is>
          <t>SERV-12187</t>
        </is>
      </c>
      <c r="B2191" s="5" t="inlineStr">
        <is>
          <t>Assistente Administrativo / Operacional</t>
        </is>
      </c>
      <c r="C2191" s="4" t="inlineStr">
        <is>
          <t>Efetivo Concursado</t>
        </is>
      </c>
      <c r="D2191" s="4" t="inlineStr">
        <is>
          <t>SEC-ADM</t>
        </is>
      </c>
      <c r="E2191" s="6" t="n">
        <v>3243.95</v>
      </c>
      <c r="F2191" s="6">
        <f>E2191*0.22</f>
        <v/>
      </c>
      <c r="G2191" s="6">
        <f>E2191+F2191</f>
        <v/>
      </c>
      <c r="H2191" s="10" t="n">
        <v>7</v>
      </c>
      <c r="I2191" s="7">
        <f>H2191/(180*0.714)</f>
        <v/>
      </c>
    </row>
    <row r="2192">
      <c r="A2192" s="4" t="inlineStr">
        <is>
          <t>SERV-12188</t>
        </is>
      </c>
      <c r="B2192" s="5" t="inlineStr">
        <is>
          <t>Assistente Administrativo / Operacional</t>
        </is>
      </c>
      <c r="C2192" s="4" t="inlineStr">
        <is>
          <t>Efetivo Concursado</t>
        </is>
      </c>
      <c r="D2192" s="4" t="inlineStr">
        <is>
          <t>SEC-ADM</t>
        </is>
      </c>
      <c r="E2192" s="6" t="n">
        <v>3173.46</v>
      </c>
      <c r="F2192" s="6">
        <f>E2192*0.22</f>
        <v/>
      </c>
      <c r="G2192" s="6">
        <f>E2192+F2192</f>
        <v/>
      </c>
      <c r="H2192" s="10" t="n">
        <v>10</v>
      </c>
      <c r="I2192" s="7">
        <f>H2192/(180*0.714)</f>
        <v/>
      </c>
    </row>
    <row r="2193">
      <c r="A2193" s="4" t="inlineStr">
        <is>
          <t>SERV-12189</t>
        </is>
      </c>
      <c r="B2193" s="5" t="inlineStr">
        <is>
          <t>Assistente Administrativo / Operacional</t>
        </is>
      </c>
      <c r="C2193" s="4" t="inlineStr">
        <is>
          <t>Efetivo Concursado</t>
        </is>
      </c>
      <c r="D2193" s="4" t="inlineStr">
        <is>
          <t>SEC-ADM</t>
        </is>
      </c>
      <c r="E2193" s="6" t="n">
        <v>3358.65</v>
      </c>
      <c r="F2193" s="6">
        <f>E2193*0.22</f>
        <v/>
      </c>
      <c r="G2193" s="6">
        <f>E2193+F2193</f>
        <v/>
      </c>
      <c r="H2193" s="10" t="n">
        <v>10</v>
      </c>
      <c r="I2193" s="7">
        <f>H2193/(180*0.714)</f>
        <v/>
      </c>
    </row>
    <row r="2194">
      <c r="A2194" s="4" t="inlineStr">
        <is>
          <t>SERV-12190</t>
        </is>
      </c>
      <c r="B2194" s="5" t="inlineStr">
        <is>
          <t>Assistente Administrativo / Operacional</t>
        </is>
      </c>
      <c r="C2194" s="4" t="inlineStr">
        <is>
          <t>Efetivo Concursado</t>
        </is>
      </c>
      <c r="D2194" s="4" t="inlineStr">
        <is>
          <t>SEC-ADM</t>
        </is>
      </c>
      <c r="E2194" s="6" t="n">
        <v>3093.88</v>
      </c>
      <c r="F2194" s="6">
        <f>E2194*0.22</f>
        <v/>
      </c>
      <c r="G2194" s="6">
        <f>E2194+F2194</f>
        <v/>
      </c>
      <c r="H2194" s="10" t="n">
        <v>5</v>
      </c>
      <c r="I2194" s="7">
        <f>H2194/(180*0.714)</f>
        <v/>
      </c>
    </row>
    <row r="2195">
      <c r="A2195" s="4" t="inlineStr">
        <is>
          <t>SERV-12191</t>
        </is>
      </c>
      <c r="B2195" s="5" t="inlineStr">
        <is>
          <t>Assistente Administrativo / Operacional</t>
        </is>
      </c>
      <c r="C2195" s="4" t="inlineStr">
        <is>
          <t>Efetivo Concursado</t>
        </is>
      </c>
      <c r="D2195" s="4" t="inlineStr">
        <is>
          <t>SEC-ADM</t>
        </is>
      </c>
      <c r="E2195" s="6" t="n">
        <v>3249.05</v>
      </c>
      <c r="F2195" s="6">
        <f>E2195*0.22</f>
        <v/>
      </c>
      <c r="G2195" s="6">
        <f>E2195+F2195</f>
        <v/>
      </c>
      <c r="H2195" s="10" t="n">
        <v>4</v>
      </c>
      <c r="I2195" s="7">
        <f>H2195/(180*0.714)</f>
        <v/>
      </c>
    </row>
    <row r="2196">
      <c r="A2196" s="4" t="inlineStr">
        <is>
          <t>SERV-12192</t>
        </is>
      </c>
      <c r="B2196" s="5" t="inlineStr">
        <is>
          <t>Assistente Administrativo / Operacional</t>
        </is>
      </c>
      <c r="C2196" s="4" t="inlineStr">
        <is>
          <t>Efetivo Concursado</t>
        </is>
      </c>
      <c r="D2196" s="4" t="inlineStr">
        <is>
          <t>SEC-ADM</t>
        </is>
      </c>
      <c r="E2196" s="6" t="n">
        <v>3245.11</v>
      </c>
      <c r="F2196" s="6">
        <f>E2196*0.22</f>
        <v/>
      </c>
      <c r="G2196" s="6">
        <f>E2196+F2196</f>
        <v/>
      </c>
      <c r="H2196" s="10" t="n">
        <v>9</v>
      </c>
      <c r="I2196" s="7">
        <f>H2196/(180*0.714)</f>
        <v/>
      </c>
    </row>
    <row r="2197">
      <c r="A2197" s="4" t="inlineStr">
        <is>
          <t>SERV-12193</t>
        </is>
      </c>
      <c r="B2197" s="5" t="inlineStr">
        <is>
          <t>Assistente Administrativo / Operacional</t>
        </is>
      </c>
      <c r="C2197" s="4" t="inlineStr">
        <is>
          <t>Efetivo Concursado</t>
        </is>
      </c>
      <c r="D2197" s="4" t="inlineStr">
        <is>
          <t>SEC-ADM</t>
        </is>
      </c>
      <c r="E2197" s="6" t="n">
        <v>2899.96</v>
      </c>
      <c r="F2197" s="6">
        <f>E2197*0.22</f>
        <v/>
      </c>
      <c r="G2197" s="6">
        <f>E2197+F2197</f>
        <v/>
      </c>
      <c r="H2197" s="10" t="n">
        <v>11</v>
      </c>
      <c r="I2197" s="7">
        <f>H2197/(180*0.714)</f>
        <v/>
      </c>
    </row>
    <row r="2198">
      <c r="A2198" s="4" t="inlineStr">
        <is>
          <t>SERV-12194</t>
        </is>
      </c>
      <c r="B2198" s="5" t="inlineStr">
        <is>
          <t>Assistente Administrativo / Operacional</t>
        </is>
      </c>
      <c r="C2198" s="4" t="inlineStr">
        <is>
          <t>Efetivo Concursado</t>
        </is>
      </c>
      <c r="D2198" s="4" t="inlineStr">
        <is>
          <t>SEC-ADM</t>
        </is>
      </c>
      <c r="E2198" s="6" t="n">
        <v>3097.96</v>
      </c>
      <c r="F2198" s="6">
        <f>E2198*0.22</f>
        <v/>
      </c>
      <c r="G2198" s="6">
        <f>E2198+F2198</f>
        <v/>
      </c>
      <c r="H2198" s="10" t="n">
        <v>6</v>
      </c>
      <c r="I2198" s="7">
        <f>H2198/(180*0.714)</f>
        <v/>
      </c>
    </row>
    <row r="2199">
      <c r="A2199" s="4" t="inlineStr">
        <is>
          <t>SERV-12195</t>
        </is>
      </c>
      <c r="B2199" s="5" t="inlineStr">
        <is>
          <t>Assistente Administrativo / Operacional</t>
        </is>
      </c>
      <c r="C2199" s="4" t="inlineStr">
        <is>
          <t>Efetivo Concursado</t>
        </is>
      </c>
      <c r="D2199" s="4" t="inlineStr">
        <is>
          <t>SEC-ADM</t>
        </is>
      </c>
      <c r="E2199" s="6" t="n">
        <v>2881.25</v>
      </c>
      <c r="F2199" s="6">
        <f>E2199*0.22</f>
        <v/>
      </c>
      <c r="G2199" s="6">
        <f>E2199+F2199</f>
        <v/>
      </c>
      <c r="H2199" s="10" t="n">
        <v>4</v>
      </c>
      <c r="I2199" s="7">
        <f>H2199/(180*0.714)</f>
        <v/>
      </c>
    </row>
    <row r="2200">
      <c r="A2200" s="4" t="inlineStr">
        <is>
          <t>SERV-12196</t>
        </is>
      </c>
      <c r="B2200" s="5" t="inlineStr">
        <is>
          <t>Assistente Administrativo / Operacional</t>
        </is>
      </c>
      <c r="C2200" s="4" t="inlineStr">
        <is>
          <t>Efetivo Concursado</t>
        </is>
      </c>
      <c r="D2200" s="4" t="inlineStr">
        <is>
          <t>SEC-ADM</t>
        </is>
      </c>
      <c r="E2200" s="6" t="n">
        <v>3388.11</v>
      </c>
      <c r="F2200" s="6">
        <f>E2200*0.22</f>
        <v/>
      </c>
      <c r="G2200" s="6">
        <f>E2200+F2200</f>
        <v/>
      </c>
      <c r="H2200" s="10" t="n">
        <v>12</v>
      </c>
      <c r="I2200" s="7">
        <f>H2200/(180*0.714)</f>
        <v/>
      </c>
    </row>
    <row r="2201">
      <c r="A2201" s="4" t="inlineStr">
        <is>
          <t>SERV-12197</t>
        </is>
      </c>
      <c r="B2201" s="5" t="inlineStr">
        <is>
          <t>Assistente Administrativo / Operacional</t>
        </is>
      </c>
      <c r="C2201" s="4" t="inlineStr">
        <is>
          <t>Efetivo Concursado</t>
        </is>
      </c>
      <c r="D2201" s="4" t="inlineStr">
        <is>
          <t>SEC-ADM</t>
        </is>
      </c>
      <c r="E2201" s="6" t="n">
        <v>3361.71</v>
      </c>
      <c r="F2201" s="6">
        <f>E2201*0.22</f>
        <v/>
      </c>
      <c r="G2201" s="6">
        <f>E2201+F2201</f>
        <v/>
      </c>
      <c r="H2201" s="10" t="n">
        <v>8</v>
      </c>
      <c r="I2201" s="7">
        <f>H2201/(180*0.714)</f>
        <v/>
      </c>
    </row>
    <row r="2202">
      <c r="A2202" s="4" t="inlineStr">
        <is>
          <t>SERV-12198</t>
        </is>
      </c>
      <c r="B2202" s="5" t="inlineStr">
        <is>
          <t>Assistente Administrativo / Operacional</t>
        </is>
      </c>
      <c r="C2202" s="4" t="inlineStr">
        <is>
          <t>Efetivo Concursado</t>
        </is>
      </c>
      <c r="D2202" s="4" t="inlineStr">
        <is>
          <t>SEC-ADM</t>
        </is>
      </c>
      <c r="E2202" s="6" t="n">
        <v>3030.38</v>
      </c>
      <c r="F2202" s="6">
        <f>E2202*0.22</f>
        <v/>
      </c>
      <c r="G2202" s="6">
        <f>E2202+F2202</f>
        <v/>
      </c>
      <c r="H2202" s="10" t="n">
        <v>11</v>
      </c>
      <c r="I2202" s="7">
        <f>H2202/(180*0.714)</f>
        <v/>
      </c>
    </row>
    <row r="2203">
      <c r="A2203" s="4" t="inlineStr">
        <is>
          <t>SERV-12199</t>
        </is>
      </c>
      <c r="B2203" s="5" t="inlineStr">
        <is>
          <t>Assistente Administrativo / Operacional</t>
        </is>
      </c>
      <c r="C2203" s="4" t="inlineStr">
        <is>
          <t>Efetivo Concursado</t>
        </is>
      </c>
      <c r="D2203" s="4" t="inlineStr">
        <is>
          <t>SEC-ADM</t>
        </is>
      </c>
      <c r="E2203" s="6" t="n">
        <v>3049.75</v>
      </c>
      <c r="F2203" s="6">
        <f>E2203*0.22</f>
        <v/>
      </c>
      <c r="G2203" s="6">
        <f>E2203+F2203</f>
        <v/>
      </c>
      <c r="H2203" s="10" t="n">
        <v>5</v>
      </c>
      <c r="I2203" s="7">
        <f>H2203/(180*0.714)</f>
        <v/>
      </c>
    </row>
    <row r="2204">
      <c r="A2204" s="4" t="inlineStr">
        <is>
          <t>SERV-12200</t>
        </is>
      </c>
      <c r="B2204" s="5" t="inlineStr">
        <is>
          <t>Assistente Administrativo / Operacional</t>
        </is>
      </c>
      <c r="C2204" s="4" t="inlineStr">
        <is>
          <t>Efetivo Concursado</t>
        </is>
      </c>
      <c r="D2204" s="4" t="inlineStr">
        <is>
          <t>SEC-ADM</t>
        </is>
      </c>
      <c r="E2204" s="6" t="n">
        <v>2994.14</v>
      </c>
      <c r="F2204" s="6">
        <f>E2204*0.22</f>
        <v/>
      </c>
      <c r="G2204" s="6">
        <f>E2204+F2204</f>
        <v/>
      </c>
      <c r="H2204" s="10" t="n">
        <v>14</v>
      </c>
      <c r="I2204" s="7">
        <f>H2204/(180*0.714)</f>
        <v/>
      </c>
    </row>
    <row r="2205">
      <c r="A2205" s="4" t="inlineStr">
        <is>
          <t>SERV-12201</t>
        </is>
      </c>
      <c r="B2205" s="5" t="inlineStr">
        <is>
          <t>Assistente Administrativo / Operacional</t>
        </is>
      </c>
      <c r="C2205" s="4" t="inlineStr">
        <is>
          <t>Efetivo Concursado</t>
        </is>
      </c>
      <c r="D2205" s="4" t="inlineStr">
        <is>
          <t>SEC-ADM</t>
        </is>
      </c>
      <c r="E2205" s="6" t="n">
        <v>3326.14</v>
      </c>
      <c r="F2205" s="6">
        <f>E2205*0.22</f>
        <v/>
      </c>
      <c r="G2205" s="6">
        <f>E2205+F2205</f>
        <v/>
      </c>
      <c r="H2205" s="10" t="n">
        <v>3</v>
      </c>
      <c r="I2205" s="7">
        <f>H2205/(180*0.714)</f>
        <v/>
      </c>
    </row>
    <row r="2206">
      <c r="A2206" s="4" t="inlineStr">
        <is>
          <t>SERV-12202</t>
        </is>
      </c>
      <c r="B2206" s="5" t="inlineStr">
        <is>
          <t>Assistente Administrativo / Operacional</t>
        </is>
      </c>
      <c r="C2206" s="4" t="inlineStr">
        <is>
          <t>Efetivo Concursado</t>
        </is>
      </c>
      <c r="D2206" s="4" t="inlineStr">
        <is>
          <t>SEC-ADM</t>
        </is>
      </c>
      <c r="E2206" s="6" t="n">
        <v>2919.1</v>
      </c>
      <c r="F2206" s="6">
        <f>E2206*0.22</f>
        <v/>
      </c>
      <c r="G2206" s="6">
        <f>E2206+F2206</f>
        <v/>
      </c>
      <c r="H2206" s="10" t="n">
        <v>8</v>
      </c>
      <c r="I2206" s="7">
        <f>H2206/(180*0.714)</f>
        <v/>
      </c>
    </row>
    <row r="2207">
      <c r="A2207" s="4" t="inlineStr">
        <is>
          <t>SERV-12203</t>
        </is>
      </c>
      <c r="B2207" s="5" t="inlineStr">
        <is>
          <t>Assistente Administrativo / Operacional</t>
        </is>
      </c>
      <c r="C2207" s="4" t="inlineStr">
        <is>
          <t>Efetivo Concursado</t>
        </is>
      </c>
      <c r="D2207" s="4" t="inlineStr">
        <is>
          <t>SEC-ADM</t>
        </is>
      </c>
      <c r="E2207" s="6" t="n">
        <v>3053.08</v>
      </c>
      <c r="F2207" s="6">
        <f>E2207*0.22</f>
        <v/>
      </c>
      <c r="G2207" s="6">
        <f>E2207+F2207</f>
        <v/>
      </c>
      <c r="H2207" s="10" t="n">
        <v>14</v>
      </c>
      <c r="I2207" s="7">
        <f>H2207/(180*0.714)</f>
        <v/>
      </c>
    </row>
    <row r="2208">
      <c r="A2208" s="4" t="inlineStr">
        <is>
          <t>SERV-12204</t>
        </is>
      </c>
      <c r="B2208" s="5" t="inlineStr">
        <is>
          <t>Assistente Administrativo / Operacional</t>
        </is>
      </c>
      <c r="C2208" s="4" t="inlineStr">
        <is>
          <t>Efetivo Concursado</t>
        </is>
      </c>
      <c r="D2208" s="4" t="inlineStr">
        <is>
          <t>SEC-ADM</t>
        </is>
      </c>
      <c r="E2208" s="6" t="n">
        <v>2893.69</v>
      </c>
      <c r="F2208" s="6">
        <f>E2208*0.22</f>
        <v/>
      </c>
      <c r="G2208" s="6">
        <f>E2208+F2208</f>
        <v/>
      </c>
      <c r="H2208" s="10" t="n">
        <v>11</v>
      </c>
      <c r="I2208" s="7">
        <f>H2208/(180*0.714)</f>
        <v/>
      </c>
    </row>
    <row r="2209">
      <c r="A2209" s="4" t="inlineStr">
        <is>
          <t>SERV-12205</t>
        </is>
      </c>
      <c r="B2209" s="5" t="inlineStr">
        <is>
          <t>Assistente Administrativo / Operacional</t>
        </is>
      </c>
      <c r="C2209" s="4" t="inlineStr">
        <is>
          <t>Efetivo Concursado</t>
        </is>
      </c>
      <c r="D2209" s="4" t="inlineStr">
        <is>
          <t>SEC-ADM</t>
        </is>
      </c>
      <c r="E2209" s="6" t="n">
        <v>3133.97</v>
      </c>
      <c r="F2209" s="6">
        <f>E2209*0.22</f>
        <v/>
      </c>
      <c r="G2209" s="6">
        <f>E2209+F2209</f>
        <v/>
      </c>
      <c r="H2209" s="10" t="n">
        <v>6</v>
      </c>
      <c r="I2209" s="7">
        <f>H2209/(180*0.714)</f>
        <v/>
      </c>
    </row>
    <row r="2210">
      <c r="A2210" s="4" t="inlineStr">
        <is>
          <t>SERV-12206</t>
        </is>
      </c>
      <c r="B2210" s="5" t="inlineStr">
        <is>
          <t>Assistente Administrativo / Operacional</t>
        </is>
      </c>
      <c r="C2210" s="4" t="inlineStr">
        <is>
          <t>Efetivo Concursado</t>
        </is>
      </c>
      <c r="D2210" s="4" t="inlineStr">
        <is>
          <t>SEC-ADM</t>
        </is>
      </c>
      <c r="E2210" s="6" t="n">
        <v>3284.76</v>
      </c>
      <c r="F2210" s="6">
        <f>E2210*0.22</f>
        <v/>
      </c>
      <c r="G2210" s="6">
        <f>E2210+F2210</f>
        <v/>
      </c>
      <c r="H2210" s="10" t="n">
        <v>4</v>
      </c>
      <c r="I2210" s="7">
        <f>H2210/(180*0.714)</f>
        <v/>
      </c>
    </row>
    <row r="2211">
      <c r="A2211" s="4" t="inlineStr">
        <is>
          <t>SERV-12207</t>
        </is>
      </c>
      <c r="B2211" s="5" t="inlineStr">
        <is>
          <t>Assistente Administrativo / Operacional</t>
        </is>
      </c>
      <c r="C2211" s="4" t="inlineStr">
        <is>
          <t>Efetivo Concursado</t>
        </is>
      </c>
      <c r="D2211" s="4" t="inlineStr">
        <is>
          <t>SEC-ADM</t>
        </is>
      </c>
      <c r="E2211" s="6" t="n">
        <v>3108.17</v>
      </c>
      <c r="F2211" s="6">
        <f>E2211*0.22</f>
        <v/>
      </c>
      <c r="G2211" s="6">
        <f>E2211+F2211</f>
        <v/>
      </c>
      <c r="H2211" s="10" t="n">
        <v>13</v>
      </c>
      <c r="I2211" s="7">
        <f>H2211/(180*0.714)</f>
        <v/>
      </c>
    </row>
    <row r="2212">
      <c r="A2212" s="4" t="inlineStr">
        <is>
          <t>SERV-12208</t>
        </is>
      </c>
      <c r="B2212" s="5" t="inlineStr">
        <is>
          <t>Assistente Administrativo / Operacional</t>
        </is>
      </c>
      <c r="C2212" s="4" t="inlineStr">
        <is>
          <t>Efetivo Concursado</t>
        </is>
      </c>
      <c r="D2212" s="4" t="inlineStr">
        <is>
          <t>SEC-ADM</t>
        </is>
      </c>
      <c r="E2212" s="6" t="n">
        <v>3101</v>
      </c>
      <c r="F2212" s="6">
        <f>E2212*0.22</f>
        <v/>
      </c>
      <c r="G2212" s="6">
        <f>E2212+F2212</f>
        <v/>
      </c>
      <c r="H2212" s="10" t="n">
        <v>7</v>
      </c>
      <c r="I2212" s="7">
        <f>H2212/(180*0.714)</f>
        <v/>
      </c>
    </row>
    <row r="2213">
      <c r="A2213" s="4" t="inlineStr">
        <is>
          <t>SERV-12209</t>
        </is>
      </c>
      <c r="B2213" s="5" t="inlineStr">
        <is>
          <t>Assistente Administrativo / Operacional</t>
        </is>
      </c>
      <c r="C2213" s="4" t="inlineStr">
        <is>
          <t>Efetivo Concursado</t>
        </is>
      </c>
      <c r="D2213" s="4" t="inlineStr">
        <is>
          <t>SEC-ADM</t>
        </is>
      </c>
      <c r="E2213" s="6" t="n">
        <v>3380.1</v>
      </c>
      <c r="F2213" s="6">
        <f>E2213*0.22</f>
        <v/>
      </c>
      <c r="G2213" s="6">
        <f>E2213+F2213</f>
        <v/>
      </c>
      <c r="H2213" s="10" t="n">
        <v>7</v>
      </c>
      <c r="I2213" s="7">
        <f>H2213/(180*0.714)</f>
        <v/>
      </c>
    </row>
    <row r="2214">
      <c r="A2214" s="4" t="inlineStr">
        <is>
          <t>SERV-12210</t>
        </is>
      </c>
      <c r="B2214" s="5" t="inlineStr">
        <is>
          <t>Assistente Administrativo / Operacional</t>
        </is>
      </c>
      <c r="C2214" s="4" t="inlineStr">
        <is>
          <t>Efetivo Concursado</t>
        </is>
      </c>
      <c r="D2214" s="4" t="inlineStr">
        <is>
          <t>SEC-ADM</t>
        </is>
      </c>
      <c r="E2214" s="6" t="n">
        <v>3122.79</v>
      </c>
      <c r="F2214" s="6">
        <f>E2214*0.22</f>
        <v/>
      </c>
      <c r="G2214" s="6">
        <f>E2214+F2214</f>
        <v/>
      </c>
      <c r="H2214" s="10" t="n">
        <v>12</v>
      </c>
      <c r="I2214" s="7">
        <f>H2214/(180*0.714)</f>
        <v/>
      </c>
    </row>
    <row r="2215">
      <c r="A2215" s="4" t="inlineStr">
        <is>
          <t>SERV-12211</t>
        </is>
      </c>
      <c r="B2215" s="5" t="inlineStr">
        <is>
          <t>Assistente Administrativo / Operacional</t>
        </is>
      </c>
      <c r="C2215" s="4" t="inlineStr">
        <is>
          <t>Efetivo Concursado</t>
        </is>
      </c>
      <c r="D2215" s="4" t="inlineStr">
        <is>
          <t>SEC-ADM</t>
        </is>
      </c>
      <c r="E2215" s="6" t="n">
        <v>3420.84</v>
      </c>
      <c r="F2215" s="6">
        <f>E2215*0.22</f>
        <v/>
      </c>
      <c r="G2215" s="6">
        <f>E2215+F2215</f>
        <v/>
      </c>
      <c r="H2215" s="10" t="n">
        <v>7</v>
      </c>
      <c r="I2215" s="7">
        <f>H2215/(180*0.714)</f>
        <v/>
      </c>
    </row>
    <row r="2216">
      <c r="A2216" s="4" t="inlineStr">
        <is>
          <t>SERV-12212</t>
        </is>
      </c>
      <c r="B2216" s="5" t="inlineStr">
        <is>
          <t>Assistente Administrativo / Operacional</t>
        </is>
      </c>
      <c r="C2216" s="4" t="inlineStr">
        <is>
          <t>Efetivo Concursado</t>
        </is>
      </c>
      <c r="D2216" s="4" t="inlineStr">
        <is>
          <t>SEC-ADM</t>
        </is>
      </c>
      <c r="E2216" s="6" t="n">
        <v>3355.77</v>
      </c>
      <c r="F2216" s="6">
        <f>E2216*0.22</f>
        <v/>
      </c>
      <c r="G2216" s="6">
        <f>E2216+F2216</f>
        <v/>
      </c>
      <c r="H2216" s="10" t="n">
        <v>11</v>
      </c>
      <c r="I2216" s="7">
        <f>H2216/(180*0.714)</f>
        <v/>
      </c>
    </row>
    <row r="2217">
      <c r="A2217" s="4" t="inlineStr">
        <is>
          <t>SERV-12213</t>
        </is>
      </c>
      <c r="B2217" s="5" t="inlineStr">
        <is>
          <t>Assistente Administrativo / Operacional</t>
        </is>
      </c>
      <c r="C2217" s="4" t="inlineStr">
        <is>
          <t>Efetivo Concursado</t>
        </is>
      </c>
      <c r="D2217" s="4" t="inlineStr">
        <is>
          <t>SEC-ADM</t>
        </is>
      </c>
      <c r="E2217" s="6" t="n">
        <v>3193.02</v>
      </c>
      <c r="F2217" s="6">
        <f>E2217*0.22</f>
        <v/>
      </c>
      <c r="G2217" s="6">
        <f>E2217+F2217</f>
        <v/>
      </c>
      <c r="H2217" s="10" t="n">
        <v>12</v>
      </c>
      <c r="I2217" s="7">
        <f>H2217/(180*0.714)</f>
        <v/>
      </c>
    </row>
    <row r="2218">
      <c r="A2218" s="4" t="inlineStr">
        <is>
          <t>SERV-12214</t>
        </is>
      </c>
      <c r="B2218" s="5" t="inlineStr">
        <is>
          <t>Assistente Administrativo / Operacional</t>
        </is>
      </c>
      <c r="C2218" s="4" t="inlineStr">
        <is>
          <t>Efetivo Concursado</t>
        </is>
      </c>
      <c r="D2218" s="4" t="inlineStr">
        <is>
          <t>SEC-ADM</t>
        </is>
      </c>
      <c r="E2218" s="6" t="n">
        <v>3392.48</v>
      </c>
      <c r="F2218" s="6">
        <f>E2218*0.22</f>
        <v/>
      </c>
      <c r="G2218" s="6">
        <f>E2218+F2218</f>
        <v/>
      </c>
      <c r="H2218" s="10" t="n">
        <v>9</v>
      </c>
      <c r="I2218" s="7">
        <f>H2218/(180*0.714)</f>
        <v/>
      </c>
    </row>
    <row r="2219">
      <c r="A2219" s="4" t="inlineStr">
        <is>
          <t>SERV-12215</t>
        </is>
      </c>
      <c r="B2219" s="5" t="inlineStr">
        <is>
          <t>Assistente Administrativo / Operacional</t>
        </is>
      </c>
      <c r="C2219" s="4" t="inlineStr">
        <is>
          <t>Efetivo Concursado</t>
        </is>
      </c>
      <c r="D2219" s="4" t="inlineStr">
        <is>
          <t>SEC-ADM</t>
        </is>
      </c>
      <c r="E2219" s="6" t="n">
        <v>3099.68</v>
      </c>
      <c r="F2219" s="6">
        <f>E2219*0.22</f>
        <v/>
      </c>
      <c r="G2219" s="6">
        <f>E2219+F2219</f>
        <v/>
      </c>
      <c r="H2219" s="10" t="n">
        <v>4</v>
      </c>
      <c r="I2219" s="7">
        <f>H2219/(180*0.714)</f>
        <v/>
      </c>
    </row>
    <row r="2220">
      <c r="A2220" s="4" t="inlineStr">
        <is>
          <t>SERV-12216</t>
        </is>
      </c>
      <c r="B2220" s="5" t="inlineStr">
        <is>
          <t>Cargos Comissionados (Assessores / Chefias)</t>
        </is>
      </c>
      <c r="C2220" s="4" t="inlineStr">
        <is>
          <t>Comissionado (DAS)</t>
        </is>
      </c>
      <c r="D2220" s="4" t="inlineStr">
        <is>
          <t>Diversas</t>
        </is>
      </c>
      <c r="E2220" s="6" t="n">
        <v>8352.360000000001</v>
      </c>
      <c r="F2220" s="6">
        <f>E2220*0.22</f>
        <v/>
      </c>
      <c r="G2220" s="6">
        <f>E2220+F2220</f>
        <v/>
      </c>
      <c r="H2220" s="10" t="n">
        <v>0</v>
      </c>
      <c r="I2220" s="7">
        <f>H2220/(180*0.714)</f>
        <v/>
      </c>
    </row>
    <row r="2221">
      <c r="A2221" s="4" t="inlineStr">
        <is>
          <t>SERV-12217</t>
        </is>
      </c>
      <c r="B2221" s="5" t="inlineStr">
        <is>
          <t>Cargos Comissionados (Assessores / Chefias)</t>
        </is>
      </c>
      <c r="C2221" s="4" t="inlineStr">
        <is>
          <t>Comissionado (DAS)</t>
        </is>
      </c>
      <c r="D2221" s="4" t="inlineStr">
        <is>
          <t>Diversas</t>
        </is>
      </c>
      <c r="E2221" s="6" t="n">
        <v>6906.15</v>
      </c>
      <c r="F2221" s="6">
        <f>E2221*0.22</f>
        <v/>
      </c>
      <c r="G2221" s="6">
        <f>E2221+F2221</f>
        <v/>
      </c>
      <c r="H2221" s="10" t="n">
        <v>1</v>
      </c>
      <c r="I2221" s="7">
        <f>H2221/(180*0.714)</f>
        <v/>
      </c>
    </row>
    <row r="2222">
      <c r="A2222" s="4" t="inlineStr">
        <is>
          <t>SERV-12218</t>
        </is>
      </c>
      <c r="B2222" s="5" t="inlineStr">
        <is>
          <t>Cargos Comissionados (Assessores / Chefias)</t>
        </is>
      </c>
      <c r="C2222" s="4" t="inlineStr">
        <is>
          <t>Comissionado (DAS)</t>
        </is>
      </c>
      <c r="D2222" s="4" t="inlineStr">
        <is>
          <t>Diversas</t>
        </is>
      </c>
      <c r="E2222" s="6" t="n">
        <v>8331</v>
      </c>
      <c r="F2222" s="6">
        <f>E2222*0.22</f>
        <v/>
      </c>
      <c r="G2222" s="6">
        <f>E2222+F2222</f>
        <v/>
      </c>
      <c r="H2222" s="10" t="n">
        <v>3</v>
      </c>
      <c r="I2222" s="7">
        <f>H2222/(180*0.714)</f>
        <v/>
      </c>
    </row>
    <row r="2223">
      <c r="A2223" s="4" t="inlineStr">
        <is>
          <t>SERV-12219</t>
        </is>
      </c>
      <c r="B2223" s="5" t="inlineStr">
        <is>
          <t>Cargos Comissionados (Assessores / Chefias)</t>
        </is>
      </c>
      <c r="C2223" s="4" t="inlineStr">
        <is>
          <t>Comissionado (DAS)</t>
        </is>
      </c>
      <c r="D2223" s="4" t="inlineStr">
        <is>
          <t>Diversas</t>
        </is>
      </c>
      <c r="E2223" s="6" t="n">
        <v>7138.74</v>
      </c>
      <c r="F2223" s="6">
        <f>E2223*0.22</f>
        <v/>
      </c>
      <c r="G2223" s="6">
        <f>E2223+F2223</f>
        <v/>
      </c>
      <c r="H2223" s="10" t="n">
        <v>0</v>
      </c>
      <c r="I2223" s="7">
        <f>H2223/(180*0.714)</f>
        <v/>
      </c>
    </row>
    <row r="2224">
      <c r="A2224" s="4" t="inlineStr">
        <is>
          <t>SERV-12220</t>
        </is>
      </c>
      <c r="B2224" s="5" t="inlineStr">
        <is>
          <t>Cargos Comissionados (Assessores / Chefias)</t>
        </is>
      </c>
      <c r="C2224" s="4" t="inlineStr">
        <is>
          <t>Comissionado (DAS)</t>
        </is>
      </c>
      <c r="D2224" s="4" t="inlineStr">
        <is>
          <t>Diversas</t>
        </is>
      </c>
      <c r="E2224" s="6" t="n">
        <v>6946.57</v>
      </c>
      <c r="F2224" s="6">
        <f>E2224*0.22</f>
        <v/>
      </c>
      <c r="G2224" s="6">
        <f>E2224+F2224</f>
        <v/>
      </c>
      <c r="H2224" s="10" t="n">
        <v>2</v>
      </c>
      <c r="I2224" s="7">
        <f>H2224/(180*0.714)</f>
        <v/>
      </c>
    </row>
    <row r="2225">
      <c r="A2225" s="4" t="inlineStr">
        <is>
          <t>SERV-12221</t>
        </is>
      </c>
      <c r="B2225" s="5" t="inlineStr">
        <is>
          <t>Cargos Comissionados (Assessores / Chefias)</t>
        </is>
      </c>
      <c r="C2225" s="4" t="inlineStr">
        <is>
          <t>Comissionado (DAS)</t>
        </is>
      </c>
      <c r="D2225" s="4" t="inlineStr">
        <is>
          <t>Diversas</t>
        </is>
      </c>
      <c r="E2225" s="6" t="n">
        <v>7597.58</v>
      </c>
      <c r="F2225" s="6">
        <f>E2225*0.22</f>
        <v/>
      </c>
      <c r="G2225" s="6">
        <f>E2225+F2225</f>
        <v/>
      </c>
      <c r="H2225" s="10" t="n">
        <v>2</v>
      </c>
      <c r="I2225" s="7">
        <f>H2225/(180*0.714)</f>
        <v/>
      </c>
    </row>
    <row r="2226">
      <c r="A2226" s="4" t="inlineStr">
        <is>
          <t>SERV-12222</t>
        </is>
      </c>
      <c r="B2226" s="5" t="inlineStr">
        <is>
          <t>Cargos Comissionados (Assessores / Chefias)</t>
        </is>
      </c>
      <c r="C2226" s="4" t="inlineStr">
        <is>
          <t>Comissionado (DAS)</t>
        </is>
      </c>
      <c r="D2226" s="4" t="inlineStr">
        <is>
          <t>Diversas</t>
        </is>
      </c>
      <c r="E2226" s="6" t="n">
        <v>7503.86</v>
      </c>
      <c r="F2226" s="6">
        <f>E2226*0.22</f>
        <v/>
      </c>
      <c r="G2226" s="6">
        <f>E2226+F2226</f>
        <v/>
      </c>
      <c r="H2226" s="10" t="n">
        <v>2</v>
      </c>
      <c r="I2226" s="7">
        <f>H2226/(180*0.714)</f>
        <v/>
      </c>
    </row>
    <row r="2227">
      <c r="A2227" s="4" t="inlineStr">
        <is>
          <t>SERV-12223</t>
        </is>
      </c>
      <c r="B2227" s="5" t="inlineStr">
        <is>
          <t>Cargos Comissionados (Assessores / Chefias)</t>
        </is>
      </c>
      <c r="C2227" s="4" t="inlineStr">
        <is>
          <t>Comissionado (DAS)</t>
        </is>
      </c>
      <c r="D2227" s="4" t="inlineStr">
        <is>
          <t>Diversas</t>
        </is>
      </c>
      <c r="E2227" s="6" t="n">
        <v>7463.52</v>
      </c>
      <c r="F2227" s="6">
        <f>E2227*0.22</f>
        <v/>
      </c>
      <c r="G2227" s="6">
        <f>E2227+F2227</f>
        <v/>
      </c>
      <c r="H2227" s="10" t="n">
        <v>1</v>
      </c>
      <c r="I2227" s="7">
        <f>H2227/(180*0.714)</f>
        <v/>
      </c>
    </row>
    <row r="2228">
      <c r="A2228" s="4" t="inlineStr">
        <is>
          <t>SERV-12224</t>
        </is>
      </c>
      <c r="B2228" s="5" t="inlineStr">
        <is>
          <t>Cargos Comissionados (Assessores / Chefias)</t>
        </is>
      </c>
      <c r="C2228" s="4" t="inlineStr">
        <is>
          <t>Comissionado (DAS)</t>
        </is>
      </c>
      <c r="D2228" s="4" t="inlineStr">
        <is>
          <t>Diversas</t>
        </is>
      </c>
      <c r="E2228" s="6" t="n">
        <v>8399.209999999999</v>
      </c>
      <c r="F2228" s="6">
        <f>E2228*0.22</f>
        <v/>
      </c>
      <c r="G2228" s="6">
        <f>E2228+F2228</f>
        <v/>
      </c>
      <c r="H2228" s="10" t="n">
        <v>0</v>
      </c>
      <c r="I2228" s="7">
        <f>H2228/(180*0.714)</f>
        <v/>
      </c>
    </row>
    <row r="2229">
      <c r="A2229" s="4" t="inlineStr">
        <is>
          <t>SERV-12225</t>
        </is>
      </c>
      <c r="B2229" s="5" t="inlineStr">
        <is>
          <t>Cargos Comissionados (Assessores / Chefias)</t>
        </is>
      </c>
      <c r="C2229" s="4" t="inlineStr">
        <is>
          <t>Comissionado (DAS)</t>
        </is>
      </c>
      <c r="D2229" s="4" t="inlineStr">
        <is>
          <t>Diversas</t>
        </is>
      </c>
      <c r="E2229" s="6" t="n">
        <v>8028.05</v>
      </c>
      <c r="F2229" s="6">
        <f>E2229*0.22</f>
        <v/>
      </c>
      <c r="G2229" s="6">
        <f>E2229+F2229</f>
        <v/>
      </c>
      <c r="H2229" s="10" t="n">
        <v>0</v>
      </c>
      <c r="I2229" s="7">
        <f>H2229/(180*0.714)</f>
        <v/>
      </c>
    </row>
    <row r="2230">
      <c r="A2230" s="4" t="inlineStr">
        <is>
          <t>SERV-12226</t>
        </is>
      </c>
      <c r="B2230" s="5" t="inlineStr">
        <is>
          <t>Cargos Comissionados (Assessores / Chefias)</t>
        </is>
      </c>
      <c r="C2230" s="4" t="inlineStr">
        <is>
          <t>Comissionado (DAS)</t>
        </is>
      </c>
      <c r="D2230" s="4" t="inlineStr">
        <is>
          <t>Diversas</t>
        </is>
      </c>
      <c r="E2230" s="6" t="n">
        <v>7591.21</v>
      </c>
      <c r="F2230" s="6">
        <f>E2230*0.22</f>
        <v/>
      </c>
      <c r="G2230" s="6">
        <f>E2230+F2230</f>
        <v/>
      </c>
      <c r="H2230" s="10" t="n">
        <v>1</v>
      </c>
      <c r="I2230" s="7">
        <f>H2230/(180*0.714)</f>
        <v/>
      </c>
    </row>
    <row r="2231">
      <c r="A2231" s="4" t="inlineStr">
        <is>
          <t>SERV-12227</t>
        </is>
      </c>
      <c r="B2231" s="5" t="inlineStr">
        <is>
          <t>Cargos Comissionados (Assessores / Chefias)</t>
        </is>
      </c>
      <c r="C2231" s="4" t="inlineStr">
        <is>
          <t>Comissionado (DAS)</t>
        </is>
      </c>
      <c r="D2231" s="4" t="inlineStr">
        <is>
          <t>Diversas</t>
        </is>
      </c>
      <c r="E2231" s="6" t="n">
        <v>8333.76</v>
      </c>
      <c r="F2231" s="6">
        <f>E2231*0.22</f>
        <v/>
      </c>
      <c r="G2231" s="6">
        <f>E2231+F2231</f>
        <v/>
      </c>
      <c r="H2231" s="10" t="n">
        <v>0</v>
      </c>
      <c r="I2231" s="7">
        <f>H2231/(180*0.714)</f>
        <v/>
      </c>
    </row>
    <row r="2232">
      <c r="A2232" s="4" t="inlineStr">
        <is>
          <t>SERV-12228</t>
        </is>
      </c>
      <c r="B2232" s="5" t="inlineStr">
        <is>
          <t>Cargos Comissionados (Assessores / Chefias)</t>
        </is>
      </c>
      <c r="C2232" s="4" t="inlineStr">
        <is>
          <t>Comissionado (DAS)</t>
        </is>
      </c>
      <c r="D2232" s="4" t="inlineStr">
        <is>
          <t>Diversas</t>
        </is>
      </c>
      <c r="E2232" s="6" t="n">
        <v>7768.64</v>
      </c>
      <c r="F2232" s="6">
        <f>E2232*0.22</f>
        <v/>
      </c>
      <c r="G2232" s="6">
        <f>E2232+F2232</f>
        <v/>
      </c>
      <c r="H2232" s="10" t="n">
        <v>3</v>
      </c>
      <c r="I2232" s="7">
        <f>H2232/(180*0.714)</f>
        <v/>
      </c>
    </row>
    <row r="2233">
      <c r="A2233" s="4" t="inlineStr">
        <is>
          <t>SERV-12229</t>
        </is>
      </c>
      <c r="B2233" s="5" t="inlineStr">
        <is>
          <t>Cargos Comissionados (Assessores / Chefias)</t>
        </is>
      </c>
      <c r="C2233" s="4" t="inlineStr">
        <is>
          <t>Comissionado (DAS)</t>
        </is>
      </c>
      <c r="D2233" s="4" t="inlineStr">
        <is>
          <t>Diversas</t>
        </is>
      </c>
      <c r="E2233" s="6" t="n">
        <v>7527.78</v>
      </c>
      <c r="F2233" s="6">
        <f>E2233*0.22</f>
        <v/>
      </c>
      <c r="G2233" s="6">
        <f>E2233+F2233</f>
        <v/>
      </c>
      <c r="H2233" s="10" t="n">
        <v>2</v>
      </c>
      <c r="I2233" s="7">
        <f>H2233/(180*0.714)</f>
        <v/>
      </c>
    </row>
    <row r="2234">
      <c r="A2234" s="4" t="inlineStr">
        <is>
          <t>SERV-12230</t>
        </is>
      </c>
      <c r="B2234" s="5" t="inlineStr">
        <is>
          <t>Cargos Comissionados (Assessores / Chefias)</t>
        </is>
      </c>
      <c r="C2234" s="4" t="inlineStr">
        <is>
          <t>Comissionado (DAS)</t>
        </is>
      </c>
      <c r="D2234" s="4" t="inlineStr">
        <is>
          <t>Diversas</t>
        </is>
      </c>
      <c r="E2234" s="6" t="n">
        <v>8374.190000000001</v>
      </c>
      <c r="F2234" s="6">
        <f>E2234*0.22</f>
        <v/>
      </c>
      <c r="G2234" s="6">
        <f>E2234+F2234</f>
        <v/>
      </c>
      <c r="H2234" s="10" t="n">
        <v>1</v>
      </c>
      <c r="I2234" s="7">
        <f>H2234/(180*0.714)</f>
        <v/>
      </c>
    </row>
    <row r="2235">
      <c r="A2235" s="4" t="inlineStr">
        <is>
          <t>SERV-12231</t>
        </is>
      </c>
      <c r="B2235" s="5" t="inlineStr">
        <is>
          <t>Cargos Comissionados (Assessores / Chefias)</t>
        </is>
      </c>
      <c r="C2235" s="4" t="inlineStr">
        <is>
          <t>Comissionado (DAS)</t>
        </is>
      </c>
      <c r="D2235" s="4" t="inlineStr">
        <is>
          <t>Diversas</t>
        </is>
      </c>
      <c r="E2235" s="6" t="n">
        <v>6916.9</v>
      </c>
      <c r="F2235" s="6">
        <f>E2235*0.22</f>
        <v/>
      </c>
      <c r="G2235" s="6">
        <f>E2235+F2235</f>
        <v/>
      </c>
      <c r="H2235" s="10" t="n">
        <v>3</v>
      </c>
      <c r="I2235" s="7">
        <f>H2235/(180*0.714)</f>
        <v/>
      </c>
    </row>
    <row r="2236">
      <c r="A2236" s="4" t="inlineStr">
        <is>
          <t>SERV-12232</t>
        </is>
      </c>
      <c r="B2236" s="5" t="inlineStr">
        <is>
          <t>Cargos Comissionados (Assessores / Chefias)</t>
        </is>
      </c>
      <c r="C2236" s="4" t="inlineStr">
        <is>
          <t>Comissionado (DAS)</t>
        </is>
      </c>
      <c r="D2236" s="4" t="inlineStr">
        <is>
          <t>Diversas</t>
        </is>
      </c>
      <c r="E2236" s="6" t="n">
        <v>7422.68</v>
      </c>
      <c r="F2236" s="6">
        <f>E2236*0.22</f>
        <v/>
      </c>
      <c r="G2236" s="6">
        <f>E2236+F2236</f>
        <v/>
      </c>
      <c r="H2236" s="10" t="n">
        <v>0</v>
      </c>
      <c r="I2236" s="7">
        <f>H2236/(180*0.714)</f>
        <v/>
      </c>
    </row>
    <row r="2237">
      <c r="A2237" s="4" t="inlineStr">
        <is>
          <t>SERV-12233</t>
        </is>
      </c>
      <c r="B2237" s="5" t="inlineStr">
        <is>
          <t>Cargos Comissionados (Assessores / Chefias)</t>
        </is>
      </c>
      <c r="C2237" s="4" t="inlineStr">
        <is>
          <t>Comissionado (DAS)</t>
        </is>
      </c>
      <c r="D2237" s="4" t="inlineStr">
        <is>
          <t>Diversas</t>
        </is>
      </c>
      <c r="E2237" s="6" t="n">
        <v>7361.73</v>
      </c>
      <c r="F2237" s="6">
        <f>E2237*0.22</f>
        <v/>
      </c>
      <c r="G2237" s="6">
        <f>E2237+F2237</f>
        <v/>
      </c>
      <c r="H2237" s="10" t="n">
        <v>0</v>
      </c>
      <c r="I2237" s="7">
        <f>H2237/(180*0.714)</f>
        <v/>
      </c>
    </row>
    <row r="2238">
      <c r="A2238" s="4" t="inlineStr">
        <is>
          <t>SERV-12234</t>
        </is>
      </c>
      <c r="B2238" s="5" t="inlineStr">
        <is>
          <t>Cargos Comissionados (Assessores / Chefias)</t>
        </is>
      </c>
      <c r="C2238" s="4" t="inlineStr">
        <is>
          <t>Comissionado (DAS)</t>
        </is>
      </c>
      <c r="D2238" s="4" t="inlineStr">
        <is>
          <t>Diversas</t>
        </is>
      </c>
      <c r="E2238" s="6" t="n">
        <v>7316.1</v>
      </c>
      <c r="F2238" s="6">
        <f>E2238*0.22</f>
        <v/>
      </c>
      <c r="G2238" s="6">
        <f>E2238+F2238</f>
        <v/>
      </c>
      <c r="H2238" s="10" t="n">
        <v>2</v>
      </c>
      <c r="I2238" s="7">
        <f>H2238/(180*0.714)</f>
        <v/>
      </c>
    </row>
    <row r="2239">
      <c r="A2239" s="4" t="inlineStr">
        <is>
          <t>SERV-12235</t>
        </is>
      </c>
      <c r="B2239" s="5" t="inlineStr">
        <is>
          <t>Cargos Comissionados (Assessores / Chefias)</t>
        </is>
      </c>
      <c r="C2239" s="4" t="inlineStr">
        <is>
          <t>Comissionado (DAS)</t>
        </is>
      </c>
      <c r="D2239" s="4" t="inlineStr">
        <is>
          <t>Diversas</t>
        </is>
      </c>
      <c r="E2239" s="6" t="n">
        <v>7361.65</v>
      </c>
      <c r="F2239" s="6">
        <f>E2239*0.22</f>
        <v/>
      </c>
      <c r="G2239" s="6">
        <f>E2239+F2239</f>
        <v/>
      </c>
      <c r="H2239" s="10" t="n">
        <v>0</v>
      </c>
      <c r="I2239" s="7">
        <f>H2239/(180*0.714)</f>
        <v/>
      </c>
    </row>
    <row r="2240">
      <c r="A2240" s="4" t="inlineStr">
        <is>
          <t>SERV-12236</t>
        </is>
      </c>
      <c r="B2240" s="5" t="inlineStr">
        <is>
          <t>Cargos Comissionados (Assessores / Chefias)</t>
        </is>
      </c>
      <c r="C2240" s="4" t="inlineStr">
        <is>
          <t>Comissionado (DAS)</t>
        </is>
      </c>
      <c r="D2240" s="4" t="inlineStr">
        <is>
          <t>Diversas</t>
        </is>
      </c>
      <c r="E2240" s="6" t="n">
        <v>7789.72</v>
      </c>
      <c r="F2240" s="6">
        <f>E2240*0.22</f>
        <v/>
      </c>
      <c r="G2240" s="6">
        <f>E2240+F2240</f>
        <v/>
      </c>
      <c r="H2240" s="10" t="n">
        <v>2</v>
      </c>
      <c r="I2240" s="7">
        <f>H2240/(180*0.714)</f>
        <v/>
      </c>
    </row>
    <row r="2241">
      <c r="A2241" s="4" t="inlineStr">
        <is>
          <t>SERV-12237</t>
        </is>
      </c>
      <c r="B2241" s="5" t="inlineStr">
        <is>
          <t>Cargos Comissionados (Assessores / Chefias)</t>
        </is>
      </c>
      <c r="C2241" s="4" t="inlineStr">
        <is>
          <t>Comissionado (DAS)</t>
        </is>
      </c>
      <c r="D2241" s="4" t="inlineStr">
        <is>
          <t>Diversas</t>
        </is>
      </c>
      <c r="E2241" s="6" t="n">
        <v>8025.88</v>
      </c>
      <c r="F2241" s="6">
        <f>E2241*0.22</f>
        <v/>
      </c>
      <c r="G2241" s="6">
        <f>E2241+F2241</f>
        <v/>
      </c>
      <c r="H2241" s="10" t="n">
        <v>0</v>
      </c>
      <c r="I2241" s="7">
        <f>H2241/(180*0.714)</f>
        <v/>
      </c>
    </row>
    <row r="2242">
      <c r="A2242" s="4" t="inlineStr">
        <is>
          <t>SERV-12238</t>
        </is>
      </c>
      <c r="B2242" s="5" t="inlineStr">
        <is>
          <t>Cargos Comissionados (Assessores / Chefias)</t>
        </is>
      </c>
      <c r="C2242" s="4" t="inlineStr">
        <is>
          <t>Comissionado (DAS)</t>
        </is>
      </c>
      <c r="D2242" s="4" t="inlineStr">
        <is>
          <t>Diversas</t>
        </is>
      </c>
      <c r="E2242" s="6" t="n">
        <v>8268.219999999999</v>
      </c>
      <c r="F2242" s="6">
        <f>E2242*0.22</f>
        <v/>
      </c>
      <c r="G2242" s="6">
        <f>E2242+F2242</f>
        <v/>
      </c>
      <c r="H2242" s="10" t="n">
        <v>3</v>
      </c>
      <c r="I2242" s="7">
        <f>H2242/(180*0.714)</f>
        <v/>
      </c>
    </row>
    <row r="2243">
      <c r="A2243" s="4" t="inlineStr">
        <is>
          <t>SERV-12239</t>
        </is>
      </c>
      <c r="B2243" s="5" t="inlineStr">
        <is>
          <t>Cargos Comissionados (Assessores / Chefias)</t>
        </is>
      </c>
      <c r="C2243" s="4" t="inlineStr">
        <is>
          <t>Comissionado (DAS)</t>
        </is>
      </c>
      <c r="D2243" s="4" t="inlineStr">
        <is>
          <t>Diversas</t>
        </is>
      </c>
      <c r="E2243" s="6" t="n">
        <v>7081.21</v>
      </c>
      <c r="F2243" s="6">
        <f>E2243*0.22</f>
        <v/>
      </c>
      <c r="G2243" s="6">
        <f>E2243+F2243</f>
        <v/>
      </c>
      <c r="H2243" s="10" t="n">
        <v>3</v>
      </c>
      <c r="I2243" s="7">
        <f>H2243/(180*0.714)</f>
        <v/>
      </c>
    </row>
    <row r="2244">
      <c r="A2244" s="4" t="inlineStr">
        <is>
          <t>SERV-12240</t>
        </is>
      </c>
      <c r="B2244" s="5" t="inlineStr">
        <is>
          <t>Cargos Comissionados (Assessores / Chefias)</t>
        </is>
      </c>
      <c r="C2244" s="4" t="inlineStr">
        <is>
          <t>Comissionado (DAS)</t>
        </is>
      </c>
      <c r="D2244" s="4" t="inlineStr">
        <is>
          <t>Diversas</t>
        </is>
      </c>
      <c r="E2244" s="6" t="n">
        <v>7905.03</v>
      </c>
      <c r="F2244" s="6">
        <f>E2244*0.22</f>
        <v/>
      </c>
      <c r="G2244" s="6">
        <f>E2244+F2244</f>
        <v/>
      </c>
      <c r="H2244" s="10" t="n">
        <v>2</v>
      </c>
      <c r="I2244" s="7">
        <f>H2244/(180*0.714)</f>
        <v/>
      </c>
    </row>
    <row r="2245">
      <c r="A2245" s="4" t="inlineStr">
        <is>
          <t>SERV-12241</t>
        </is>
      </c>
      <c r="B2245" s="5" t="inlineStr">
        <is>
          <t>Cargos Comissionados (Assessores / Chefias)</t>
        </is>
      </c>
      <c r="C2245" s="4" t="inlineStr">
        <is>
          <t>Comissionado (DAS)</t>
        </is>
      </c>
      <c r="D2245" s="4" t="inlineStr">
        <is>
          <t>Diversas</t>
        </is>
      </c>
      <c r="E2245" s="6" t="n">
        <v>6956.02</v>
      </c>
      <c r="F2245" s="6">
        <f>E2245*0.22</f>
        <v/>
      </c>
      <c r="G2245" s="6">
        <f>E2245+F2245</f>
        <v/>
      </c>
      <c r="H2245" s="10" t="n">
        <v>0</v>
      </c>
      <c r="I2245" s="7">
        <f>H2245/(180*0.714)</f>
        <v/>
      </c>
    </row>
    <row r="2246">
      <c r="A2246" s="4" t="inlineStr">
        <is>
          <t>SERV-12242</t>
        </is>
      </c>
      <c r="B2246" s="5" t="inlineStr">
        <is>
          <t>Cargos Comissionados (Assessores / Chefias)</t>
        </is>
      </c>
      <c r="C2246" s="4" t="inlineStr">
        <is>
          <t>Comissionado (DAS)</t>
        </is>
      </c>
      <c r="D2246" s="4" t="inlineStr">
        <is>
          <t>Diversas</t>
        </is>
      </c>
      <c r="E2246" s="6" t="n">
        <v>8146.54</v>
      </c>
      <c r="F2246" s="6">
        <f>E2246*0.22</f>
        <v/>
      </c>
      <c r="G2246" s="6">
        <f>E2246+F2246</f>
        <v/>
      </c>
      <c r="H2246" s="10" t="n">
        <v>1</v>
      </c>
      <c r="I2246" s="7">
        <f>H2246/(180*0.714)</f>
        <v/>
      </c>
    </row>
    <row r="2247">
      <c r="A2247" s="4" t="inlineStr">
        <is>
          <t>SERV-12243</t>
        </is>
      </c>
      <c r="B2247" s="5" t="inlineStr">
        <is>
          <t>Cargos Comissionados (Assessores / Chefias)</t>
        </is>
      </c>
      <c r="C2247" s="4" t="inlineStr">
        <is>
          <t>Comissionado (DAS)</t>
        </is>
      </c>
      <c r="D2247" s="4" t="inlineStr">
        <is>
          <t>Diversas</t>
        </is>
      </c>
      <c r="E2247" s="6" t="n">
        <v>7337.94</v>
      </c>
      <c r="F2247" s="6">
        <f>E2247*0.22</f>
        <v/>
      </c>
      <c r="G2247" s="6">
        <f>E2247+F2247</f>
        <v/>
      </c>
      <c r="H2247" s="10" t="n">
        <v>1</v>
      </c>
      <c r="I2247" s="7">
        <f>H2247/(180*0.714)</f>
        <v/>
      </c>
    </row>
    <row r="2248">
      <c r="A2248" s="4" t="inlineStr">
        <is>
          <t>SERV-12244</t>
        </is>
      </c>
      <c r="B2248" s="5" t="inlineStr">
        <is>
          <t>Cargos Comissionados (Assessores / Chefias)</t>
        </is>
      </c>
      <c r="C2248" s="4" t="inlineStr">
        <is>
          <t>Comissionado (DAS)</t>
        </is>
      </c>
      <c r="D2248" s="4" t="inlineStr">
        <is>
          <t>Diversas</t>
        </is>
      </c>
      <c r="E2248" s="6" t="n">
        <v>7105.8</v>
      </c>
      <c r="F2248" s="6">
        <f>E2248*0.22</f>
        <v/>
      </c>
      <c r="G2248" s="6">
        <f>E2248+F2248</f>
        <v/>
      </c>
      <c r="H2248" s="10" t="n">
        <v>0</v>
      </c>
      <c r="I2248" s="7">
        <f>H2248/(180*0.714)</f>
        <v/>
      </c>
    </row>
    <row r="2249">
      <c r="A2249" s="4" t="inlineStr">
        <is>
          <t>SERV-12245</t>
        </is>
      </c>
      <c r="B2249" s="5" t="inlineStr">
        <is>
          <t>Cargos Comissionados (Assessores / Chefias)</t>
        </is>
      </c>
      <c r="C2249" s="4" t="inlineStr">
        <is>
          <t>Comissionado (DAS)</t>
        </is>
      </c>
      <c r="D2249" s="4" t="inlineStr">
        <is>
          <t>Diversas</t>
        </is>
      </c>
      <c r="E2249" s="6" t="n">
        <v>7755.28</v>
      </c>
      <c r="F2249" s="6">
        <f>E2249*0.22</f>
        <v/>
      </c>
      <c r="G2249" s="6">
        <f>E2249+F2249</f>
        <v/>
      </c>
      <c r="H2249" s="10" t="n">
        <v>1</v>
      </c>
      <c r="I2249" s="7">
        <f>H2249/(180*0.714)</f>
        <v/>
      </c>
    </row>
    <row r="2250">
      <c r="A2250" s="4" t="inlineStr">
        <is>
          <t>SERV-12246</t>
        </is>
      </c>
      <c r="B2250" s="5" t="inlineStr">
        <is>
          <t>Cargos Comissionados (Assessores / Chefias)</t>
        </is>
      </c>
      <c r="C2250" s="4" t="inlineStr">
        <is>
          <t>Comissionado (DAS)</t>
        </is>
      </c>
      <c r="D2250" s="4" t="inlineStr">
        <is>
          <t>Diversas</t>
        </is>
      </c>
      <c r="E2250" s="6" t="n">
        <v>8260.08</v>
      </c>
      <c r="F2250" s="6">
        <f>E2250*0.22</f>
        <v/>
      </c>
      <c r="G2250" s="6">
        <f>E2250+F2250</f>
        <v/>
      </c>
      <c r="H2250" s="10" t="n">
        <v>0</v>
      </c>
      <c r="I2250" s="7">
        <f>H2250/(180*0.714)</f>
        <v/>
      </c>
    </row>
    <row r="2251">
      <c r="A2251" s="4" t="inlineStr">
        <is>
          <t>SERV-12247</t>
        </is>
      </c>
      <c r="B2251" s="5" t="inlineStr">
        <is>
          <t>Cargos Comissionados (Assessores / Chefias)</t>
        </is>
      </c>
      <c r="C2251" s="4" t="inlineStr">
        <is>
          <t>Comissionado (DAS)</t>
        </is>
      </c>
      <c r="D2251" s="4" t="inlineStr">
        <is>
          <t>Diversas</t>
        </is>
      </c>
      <c r="E2251" s="6" t="n">
        <v>8299.27</v>
      </c>
      <c r="F2251" s="6">
        <f>E2251*0.22</f>
        <v/>
      </c>
      <c r="G2251" s="6">
        <f>E2251+F2251</f>
        <v/>
      </c>
      <c r="H2251" s="10" t="n">
        <v>0</v>
      </c>
      <c r="I2251" s="7">
        <f>H2251/(180*0.714)</f>
        <v/>
      </c>
    </row>
    <row r="2252">
      <c r="A2252" s="4" t="inlineStr">
        <is>
          <t>SERV-12248</t>
        </is>
      </c>
      <c r="B2252" s="5" t="inlineStr">
        <is>
          <t>Cargos Comissionados (Assessores / Chefias)</t>
        </is>
      </c>
      <c r="C2252" s="4" t="inlineStr">
        <is>
          <t>Comissionado (DAS)</t>
        </is>
      </c>
      <c r="D2252" s="4" t="inlineStr">
        <is>
          <t>Diversas</t>
        </is>
      </c>
      <c r="E2252" s="6" t="n">
        <v>7348.4</v>
      </c>
      <c r="F2252" s="6">
        <f>E2252*0.22</f>
        <v/>
      </c>
      <c r="G2252" s="6">
        <f>E2252+F2252</f>
        <v/>
      </c>
      <c r="H2252" s="10" t="n">
        <v>0</v>
      </c>
      <c r="I2252" s="7">
        <f>H2252/(180*0.714)</f>
        <v/>
      </c>
    </row>
    <row r="2253">
      <c r="A2253" s="4" t="inlineStr">
        <is>
          <t>SERV-12249</t>
        </is>
      </c>
      <c r="B2253" s="5" t="inlineStr">
        <is>
          <t>Cargos Comissionados (Assessores / Chefias)</t>
        </is>
      </c>
      <c r="C2253" s="4" t="inlineStr">
        <is>
          <t>Comissionado (DAS)</t>
        </is>
      </c>
      <c r="D2253" s="4" t="inlineStr">
        <is>
          <t>Diversas</t>
        </is>
      </c>
      <c r="E2253" s="6" t="n">
        <v>7045.51</v>
      </c>
      <c r="F2253" s="6">
        <f>E2253*0.22</f>
        <v/>
      </c>
      <c r="G2253" s="6">
        <f>E2253+F2253</f>
        <v/>
      </c>
      <c r="H2253" s="10" t="n">
        <v>0</v>
      </c>
      <c r="I2253" s="7">
        <f>H2253/(180*0.714)</f>
        <v/>
      </c>
    </row>
    <row r="2254">
      <c r="A2254" s="4" t="inlineStr">
        <is>
          <t>SERV-12250</t>
        </is>
      </c>
      <c r="B2254" s="5" t="inlineStr">
        <is>
          <t>Cargos Comissionados (Assessores / Chefias)</t>
        </is>
      </c>
      <c r="C2254" s="4" t="inlineStr">
        <is>
          <t>Comissionado (DAS)</t>
        </is>
      </c>
      <c r="D2254" s="4" t="inlineStr">
        <is>
          <t>Diversas</t>
        </is>
      </c>
      <c r="E2254" s="6" t="n">
        <v>8065.32</v>
      </c>
      <c r="F2254" s="6">
        <f>E2254*0.22</f>
        <v/>
      </c>
      <c r="G2254" s="6">
        <f>E2254+F2254</f>
        <v/>
      </c>
      <c r="H2254" s="10" t="n">
        <v>3</v>
      </c>
      <c r="I2254" s="7">
        <f>H2254/(180*0.714)</f>
        <v/>
      </c>
    </row>
    <row r="2255">
      <c r="A2255" s="4" t="inlineStr">
        <is>
          <t>SERV-12251</t>
        </is>
      </c>
      <c r="B2255" s="5" t="inlineStr">
        <is>
          <t>Cargos Comissionados (Assessores / Chefias)</t>
        </is>
      </c>
      <c r="C2255" s="4" t="inlineStr">
        <is>
          <t>Comissionado (DAS)</t>
        </is>
      </c>
      <c r="D2255" s="4" t="inlineStr">
        <is>
          <t>Diversas</t>
        </is>
      </c>
      <c r="E2255" s="6" t="n">
        <v>7357.1</v>
      </c>
      <c r="F2255" s="6">
        <f>E2255*0.22</f>
        <v/>
      </c>
      <c r="G2255" s="6">
        <f>E2255+F2255</f>
        <v/>
      </c>
      <c r="H2255" s="10" t="n">
        <v>1</v>
      </c>
      <c r="I2255" s="7">
        <f>H2255/(180*0.714)</f>
        <v/>
      </c>
    </row>
    <row r="2256">
      <c r="A2256" s="4" t="inlineStr">
        <is>
          <t>SERV-12252</t>
        </is>
      </c>
      <c r="B2256" s="5" t="inlineStr">
        <is>
          <t>Cargos Comissionados (Assessores / Chefias)</t>
        </is>
      </c>
      <c r="C2256" s="4" t="inlineStr">
        <is>
          <t>Comissionado (DAS)</t>
        </is>
      </c>
      <c r="D2256" s="4" t="inlineStr">
        <is>
          <t>Diversas</t>
        </is>
      </c>
      <c r="E2256" s="6" t="n">
        <v>8375.49</v>
      </c>
      <c r="F2256" s="6">
        <f>E2256*0.22</f>
        <v/>
      </c>
      <c r="G2256" s="6">
        <f>E2256+F2256</f>
        <v/>
      </c>
      <c r="H2256" s="10" t="n">
        <v>0</v>
      </c>
      <c r="I2256" s="7">
        <f>H2256/(180*0.714)</f>
        <v/>
      </c>
    </row>
    <row r="2257">
      <c r="A2257" s="4" t="inlineStr">
        <is>
          <t>SERV-12253</t>
        </is>
      </c>
      <c r="B2257" s="5" t="inlineStr">
        <is>
          <t>Cargos Comissionados (Assessores / Chefias)</t>
        </is>
      </c>
      <c r="C2257" s="4" t="inlineStr">
        <is>
          <t>Comissionado (DAS)</t>
        </is>
      </c>
      <c r="D2257" s="4" t="inlineStr">
        <is>
          <t>Diversas</t>
        </is>
      </c>
      <c r="E2257" s="6" t="n">
        <v>7347.51</v>
      </c>
      <c r="F2257" s="6">
        <f>E2257*0.22</f>
        <v/>
      </c>
      <c r="G2257" s="6">
        <f>E2257+F2257</f>
        <v/>
      </c>
      <c r="H2257" s="10" t="n">
        <v>3</v>
      </c>
      <c r="I2257" s="7">
        <f>H2257/(180*0.714)</f>
        <v/>
      </c>
    </row>
    <row r="2258">
      <c r="A2258" s="4" t="inlineStr">
        <is>
          <t>SERV-12254</t>
        </is>
      </c>
      <c r="B2258" s="5" t="inlineStr">
        <is>
          <t>Cargos Comissionados (Assessores / Chefias)</t>
        </is>
      </c>
      <c r="C2258" s="4" t="inlineStr">
        <is>
          <t>Comissionado (DAS)</t>
        </is>
      </c>
      <c r="D2258" s="4" t="inlineStr">
        <is>
          <t>Diversas</t>
        </is>
      </c>
      <c r="E2258" s="6" t="n">
        <v>8192.1</v>
      </c>
      <c r="F2258" s="6">
        <f>E2258*0.22</f>
        <v/>
      </c>
      <c r="G2258" s="6">
        <f>E2258+F2258</f>
        <v/>
      </c>
      <c r="H2258" s="10" t="n">
        <v>2</v>
      </c>
      <c r="I2258" s="7">
        <f>H2258/(180*0.714)</f>
        <v/>
      </c>
    </row>
    <row r="2259">
      <c r="A2259" s="4" t="inlineStr">
        <is>
          <t>SERV-12255</t>
        </is>
      </c>
      <c r="B2259" s="5" t="inlineStr">
        <is>
          <t>Cargos Comissionados (Assessores / Chefias)</t>
        </is>
      </c>
      <c r="C2259" s="4" t="inlineStr">
        <is>
          <t>Comissionado (DAS)</t>
        </is>
      </c>
      <c r="D2259" s="4" t="inlineStr">
        <is>
          <t>Diversas</t>
        </is>
      </c>
      <c r="E2259" s="6" t="n">
        <v>7051.93</v>
      </c>
      <c r="F2259" s="6">
        <f>E2259*0.22</f>
        <v/>
      </c>
      <c r="G2259" s="6">
        <f>E2259+F2259</f>
        <v/>
      </c>
      <c r="H2259" s="10" t="n">
        <v>0</v>
      </c>
      <c r="I2259" s="7">
        <f>H2259/(180*0.714)</f>
        <v/>
      </c>
    </row>
    <row r="2260">
      <c r="A2260" s="4" t="inlineStr">
        <is>
          <t>SERV-12256</t>
        </is>
      </c>
      <c r="B2260" s="5" t="inlineStr">
        <is>
          <t>Cargos Comissionados (Assessores / Chefias)</t>
        </is>
      </c>
      <c r="C2260" s="4" t="inlineStr">
        <is>
          <t>Comissionado (DAS)</t>
        </is>
      </c>
      <c r="D2260" s="4" t="inlineStr">
        <is>
          <t>Diversas</t>
        </is>
      </c>
      <c r="E2260" s="6" t="n">
        <v>7909.35</v>
      </c>
      <c r="F2260" s="6">
        <f>E2260*0.22</f>
        <v/>
      </c>
      <c r="G2260" s="6">
        <f>E2260+F2260</f>
        <v/>
      </c>
      <c r="H2260" s="10" t="n">
        <v>3</v>
      </c>
      <c r="I2260" s="7">
        <f>H2260/(180*0.714)</f>
        <v/>
      </c>
    </row>
    <row r="2261">
      <c r="A2261" s="4" t="inlineStr">
        <is>
          <t>SERV-12257</t>
        </is>
      </c>
      <c r="B2261" s="5" t="inlineStr">
        <is>
          <t>Cargos Comissionados (Assessores / Chefias)</t>
        </is>
      </c>
      <c r="C2261" s="4" t="inlineStr">
        <is>
          <t>Comissionado (DAS)</t>
        </is>
      </c>
      <c r="D2261" s="4" t="inlineStr">
        <is>
          <t>Diversas</t>
        </is>
      </c>
      <c r="E2261" s="6" t="n">
        <v>7726.77</v>
      </c>
      <c r="F2261" s="6">
        <f>E2261*0.22</f>
        <v/>
      </c>
      <c r="G2261" s="6">
        <f>E2261+F2261</f>
        <v/>
      </c>
      <c r="H2261" s="10" t="n">
        <v>1</v>
      </c>
      <c r="I2261" s="7">
        <f>H2261/(180*0.714)</f>
        <v/>
      </c>
    </row>
    <row r="2262">
      <c r="A2262" s="4" t="inlineStr">
        <is>
          <t>SERV-12258</t>
        </is>
      </c>
      <c r="B2262" s="5" t="inlineStr">
        <is>
          <t>Cargos Comissionados (Assessores / Chefias)</t>
        </is>
      </c>
      <c r="C2262" s="4" t="inlineStr">
        <is>
          <t>Comissionado (DAS)</t>
        </is>
      </c>
      <c r="D2262" s="4" t="inlineStr">
        <is>
          <t>Diversas</t>
        </is>
      </c>
      <c r="E2262" s="6" t="n">
        <v>8356.35</v>
      </c>
      <c r="F2262" s="6">
        <f>E2262*0.22</f>
        <v/>
      </c>
      <c r="G2262" s="6">
        <f>E2262+F2262</f>
        <v/>
      </c>
      <c r="H2262" s="10" t="n">
        <v>2</v>
      </c>
      <c r="I2262" s="7">
        <f>H2262/(180*0.714)</f>
        <v/>
      </c>
    </row>
    <row r="2263">
      <c r="A2263" s="4" t="inlineStr">
        <is>
          <t>SERV-12259</t>
        </is>
      </c>
      <c r="B2263" s="5" t="inlineStr">
        <is>
          <t>Cargos Comissionados (Assessores / Chefias)</t>
        </is>
      </c>
      <c r="C2263" s="4" t="inlineStr">
        <is>
          <t>Comissionado (DAS)</t>
        </is>
      </c>
      <c r="D2263" s="4" t="inlineStr">
        <is>
          <t>Diversas</t>
        </is>
      </c>
      <c r="E2263" s="6" t="n">
        <v>7359.88</v>
      </c>
      <c r="F2263" s="6">
        <f>E2263*0.22</f>
        <v/>
      </c>
      <c r="G2263" s="6">
        <f>E2263+F2263</f>
        <v/>
      </c>
      <c r="H2263" s="10" t="n">
        <v>1</v>
      </c>
      <c r="I2263" s="7">
        <f>H2263/(180*0.714)</f>
        <v/>
      </c>
    </row>
    <row r="2264">
      <c r="A2264" s="4" t="inlineStr">
        <is>
          <t>SERV-12260</t>
        </is>
      </c>
      <c r="B2264" s="5" t="inlineStr">
        <is>
          <t>Cargos Comissionados (Assessores / Chefias)</t>
        </is>
      </c>
      <c r="C2264" s="4" t="inlineStr">
        <is>
          <t>Comissionado (DAS)</t>
        </is>
      </c>
      <c r="D2264" s="4" t="inlineStr">
        <is>
          <t>Diversas</t>
        </is>
      </c>
      <c r="E2264" s="6" t="n">
        <v>7242.9</v>
      </c>
      <c r="F2264" s="6">
        <f>E2264*0.22</f>
        <v/>
      </c>
      <c r="G2264" s="6">
        <f>E2264+F2264</f>
        <v/>
      </c>
      <c r="H2264" s="10" t="n">
        <v>2</v>
      </c>
      <c r="I2264" s="7">
        <f>H2264/(180*0.714)</f>
        <v/>
      </c>
    </row>
    <row r="2265">
      <c r="A2265" s="4" t="inlineStr">
        <is>
          <t>SERV-12261</t>
        </is>
      </c>
      <c r="B2265" s="5" t="inlineStr">
        <is>
          <t>Cargos Comissionados (Assessores / Chefias)</t>
        </is>
      </c>
      <c r="C2265" s="4" t="inlineStr">
        <is>
          <t>Comissionado (DAS)</t>
        </is>
      </c>
      <c r="D2265" s="4" t="inlineStr">
        <is>
          <t>Diversas</t>
        </is>
      </c>
      <c r="E2265" s="6" t="n">
        <v>7501.65</v>
      </c>
      <c r="F2265" s="6">
        <f>E2265*0.22</f>
        <v/>
      </c>
      <c r="G2265" s="6">
        <f>E2265+F2265</f>
        <v/>
      </c>
      <c r="H2265" s="10" t="n">
        <v>2</v>
      </c>
      <c r="I2265" s="7">
        <f>H2265/(180*0.714)</f>
        <v/>
      </c>
    </row>
    <row r="2266">
      <c r="A2266" s="4" t="inlineStr">
        <is>
          <t>SERV-12262</t>
        </is>
      </c>
      <c r="B2266" s="5" t="inlineStr">
        <is>
          <t>Cargos Comissionados (Assessores / Chefias)</t>
        </is>
      </c>
      <c r="C2266" s="4" t="inlineStr">
        <is>
          <t>Comissionado (DAS)</t>
        </is>
      </c>
      <c r="D2266" s="4" t="inlineStr">
        <is>
          <t>Diversas</t>
        </is>
      </c>
      <c r="E2266" s="6" t="n">
        <v>7733.86</v>
      </c>
      <c r="F2266" s="6">
        <f>E2266*0.22</f>
        <v/>
      </c>
      <c r="G2266" s="6">
        <f>E2266+F2266</f>
        <v/>
      </c>
      <c r="H2266" s="10" t="n">
        <v>3</v>
      </c>
      <c r="I2266" s="7">
        <f>H2266/(180*0.714)</f>
        <v/>
      </c>
    </row>
    <row r="2267">
      <c r="A2267" s="4" t="inlineStr">
        <is>
          <t>SERV-12263</t>
        </is>
      </c>
      <c r="B2267" s="5" t="inlineStr">
        <is>
          <t>Cargos Comissionados (Assessores / Chefias)</t>
        </is>
      </c>
      <c r="C2267" s="4" t="inlineStr">
        <is>
          <t>Comissionado (DAS)</t>
        </is>
      </c>
      <c r="D2267" s="4" t="inlineStr">
        <is>
          <t>Diversas</t>
        </is>
      </c>
      <c r="E2267" s="6" t="n">
        <v>7304.92</v>
      </c>
      <c r="F2267" s="6">
        <f>E2267*0.22</f>
        <v/>
      </c>
      <c r="G2267" s="6">
        <f>E2267+F2267</f>
        <v/>
      </c>
      <c r="H2267" s="10" t="n">
        <v>2</v>
      </c>
      <c r="I2267" s="7">
        <f>H2267/(180*0.714)</f>
        <v/>
      </c>
    </row>
    <row r="2268">
      <c r="A2268" s="4" t="inlineStr">
        <is>
          <t>SERV-12264</t>
        </is>
      </c>
      <c r="B2268" s="5" t="inlineStr">
        <is>
          <t>Cargos Comissionados (Assessores / Chefias)</t>
        </is>
      </c>
      <c r="C2268" s="4" t="inlineStr">
        <is>
          <t>Comissionado (DAS)</t>
        </is>
      </c>
      <c r="D2268" s="4" t="inlineStr">
        <is>
          <t>Diversas</t>
        </is>
      </c>
      <c r="E2268" s="6" t="n">
        <v>7559.25</v>
      </c>
      <c r="F2268" s="6">
        <f>E2268*0.22</f>
        <v/>
      </c>
      <c r="G2268" s="6">
        <f>E2268+F2268</f>
        <v/>
      </c>
      <c r="H2268" s="10" t="n">
        <v>0</v>
      </c>
      <c r="I2268" s="7">
        <f>H2268/(180*0.714)</f>
        <v/>
      </c>
    </row>
    <row r="2269">
      <c r="A2269" s="4" t="inlineStr">
        <is>
          <t>SERV-12265</t>
        </is>
      </c>
      <c r="B2269" s="5" t="inlineStr">
        <is>
          <t>Cargos Comissionados (Assessores / Chefias)</t>
        </is>
      </c>
      <c r="C2269" s="4" t="inlineStr">
        <is>
          <t>Comissionado (DAS)</t>
        </is>
      </c>
      <c r="D2269" s="4" t="inlineStr">
        <is>
          <t>Diversas</t>
        </is>
      </c>
      <c r="E2269" s="6" t="n">
        <v>7101.22</v>
      </c>
      <c r="F2269" s="6">
        <f>E2269*0.22</f>
        <v/>
      </c>
      <c r="G2269" s="6">
        <f>E2269+F2269</f>
        <v/>
      </c>
      <c r="H2269" s="10" t="n">
        <v>2</v>
      </c>
      <c r="I2269" s="7">
        <f>H2269/(180*0.714)</f>
        <v/>
      </c>
    </row>
    <row r="2270">
      <c r="A2270" s="4" t="inlineStr">
        <is>
          <t>SERV-12266</t>
        </is>
      </c>
      <c r="B2270" s="5" t="inlineStr">
        <is>
          <t>Cargos Comissionados (Assessores / Chefias)</t>
        </is>
      </c>
      <c r="C2270" s="4" t="inlineStr">
        <is>
          <t>Comissionado (DAS)</t>
        </is>
      </c>
      <c r="D2270" s="4" t="inlineStr">
        <is>
          <t>Diversas</t>
        </is>
      </c>
      <c r="E2270" s="6" t="n">
        <v>6932.54</v>
      </c>
      <c r="F2270" s="6">
        <f>E2270*0.22</f>
        <v/>
      </c>
      <c r="G2270" s="6">
        <f>E2270+F2270</f>
        <v/>
      </c>
      <c r="H2270" s="10" t="n">
        <v>0</v>
      </c>
      <c r="I2270" s="7">
        <f>H2270/(180*0.714)</f>
        <v/>
      </c>
    </row>
    <row r="2271">
      <c r="A2271" s="4" t="inlineStr">
        <is>
          <t>SERV-12267</t>
        </is>
      </c>
      <c r="B2271" s="5" t="inlineStr">
        <is>
          <t>Cargos Comissionados (Assessores / Chefias)</t>
        </is>
      </c>
      <c r="C2271" s="4" t="inlineStr">
        <is>
          <t>Comissionado (DAS)</t>
        </is>
      </c>
      <c r="D2271" s="4" t="inlineStr">
        <is>
          <t>Diversas</t>
        </is>
      </c>
      <c r="E2271" s="6" t="n">
        <v>7869.6</v>
      </c>
      <c r="F2271" s="6">
        <f>E2271*0.22</f>
        <v/>
      </c>
      <c r="G2271" s="6">
        <f>E2271+F2271</f>
        <v/>
      </c>
      <c r="H2271" s="10" t="n">
        <v>2</v>
      </c>
      <c r="I2271" s="7">
        <f>H2271/(180*0.714)</f>
        <v/>
      </c>
    </row>
    <row r="2272">
      <c r="A2272" s="4" t="inlineStr">
        <is>
          <t>SERV-12268</t>
        </is>
      </c>
      <c r="B2272" s="5" t="inlineStr">
        <is>
          <t>Cargos Comissionados (Assessores / Chefias)</t>
        </is>
      </c>
      <c r="C2272" s="4" t="inlineStr">
        <is>
          <t>Comissionado (DAS)</t>
        </is>
      </c>
      <c r="D2272" s="4" t="inlineStr">
        <is>
          <t>Diversas</t>
        </is>
      </c>
      <c r="E2272" s="6" t="n">
        <v>7818.58</v>
      </c>
      <c r="F2272" s="6">
        <f>E2272*0.22</f>
        <v/>
      </c>
      <c r="G2272" s="6">
        <f>E2272+F2272</f>
        <v/>
      </c>
      <c r="H2272" s="10" t="n">
        <v>0</v>
      </c>
      <c r="I2272" s="7">
        <f>H2272/(180*0.714)</f>
        <v/>
      </c>
    </row>
    <row r="2273">
      <c r="A2273" s="4" t="inlineStr">
        <is>
          <t>SERV-12269</t>
        </is>
      </c>
      <c r="B2273" s="5" t="inlineStr">
        <is>
          <t>Cargos Comissionados (Assessores / Chefias)</t>
        </is>
      </c>
      <c r="C2273" s="4" t="inlineStr">
        <is>
          <t>Comissionado (DAS)</t>
        </is>
      </c>
      <c r="D2273" s="4" t="inlineStr">
        <is>
          <t>Diversas</t>
        </is>
      </c>
      <c r="E2273" s="6" t="n">
        <v>7917.08</v>
      </c>
      <c r="F2273" s="6">
        <f>E2273*0.22</f>
        <v/>
      </c>
      <c r="G2273" s="6">
        <f>E2273+F2273</f>
        <v/>
      </c>
      <c r="H2273" s="10" t="n">
        <v>1</v>
      </c>
      <c r="I2273" s="7">
        <f>H2273/(180*0.714)</f>
        <v/>
      </c>
    </row>
    <row r="2274">
      <c r="A2274" s="4" t="inlineStr">
        <is>
          <t>SERV-12270</t>
        </is>
      </c>
      <c r="B2274" s="5" t="inlineStr">
        <is>
          <t>Cargos Comissionados (Assessores / Chefias)</t>
        </is>
      </c>
      <c r="C2274" s="4" t="inlineStr">
        <is>
          <t>Comissionado (DAS)</t>
        </is>
      </c>
      <c r="D2274" s="4" t="inlineStr">
        <is>
          <t>Diversas</t>
        </is>
      </c>
      <c r="E2274" s="6" t="n">
        <v>7149.63</v>
      </c>
      <c r="F2274" s="6">
        <f>E2274*0.22</f>
        <v/>
      </c>
      <c r="G2274" s="6">
        <f>E2274+F2274</f>
        <v/>
      </c>
      <c r="H2274" s="10" t="n">
        <v>3</v>
      </c>
      <c r="I2274" s="7">
        <f>H2274/(180*0.714)</f>
        <v/>
      </c>
    </row>
    <row r="2275">
      <c r="A2275" s="4" t="inlineStr">
        <is>
          <t>SERV-12271</t>
        </is>
      </c>
      <c r="B2275" s="5" t="inlineStr">
        <is>
          <t>Cargos Comissionados (Assessores / Chefias)</t>
        </is>
      </c>
      <c r="C2275" s="4" t="inlineStr">
        <is>
          <t>Comissionado (DAS)</t>
        </is>
      </c>
      <c r="D2275" s="4" t="inlineStr">
        <is>
          <t>Diversas</t>
        </is>
      </c>
      <c r="E2275" s="6" t="n">
        <v>7865.06</v>
      </c>
      <c r="F2275" s="6">
        <f>E2275*0.22</f>
        <v/>
      </c>
      <c r="G2275" s="6">
        <f>E2275+F2275</f>
        <v/>
      </c>
      <c r="H2275" s="10" t="n">
        <v>3</v>
      </c>
      <c r="I2275" s="7">
        <f>H2275/(180*0.714)</f>
        <v/>
      </c>
    </row>
    <row r="2276">
      <c r="A2276" s="4" t="inlineStr">
        <is>
          <t>SERV-12272</t>
        </is>
      </c>
      <c r="B2276" s="5" t="inlineStr">
        <is>
          <t>Cargos Comissionados (Assessores / Chefias)</t>
        </is>
      </c>
      <c r="C2276" s="4" t="inlineStr">
        <is>
          <t>Comissionado (DAS)</t>
        </is>
      </c>
      <c r="D2276" s="4" t="inlineStr">
        <is>
          <t>Diversas</t>
        </is>
      </c>
      <c r="E2276" s="6" t="n">
        <v>7088.37</v>
      </c>
      <c r="F2276" s="6">
        <f>E2276*0.22</f>
        <v/>
      </c>
      <c r="G2276" s="6">
        <f>E2276+F2276</f>
        <v/>
      </c>
      <c r="H2276" s="10" t="n">
        <v>0</v>
      </c>
      <c r="I2276" s="7">
        <f>H2276/(180*0.714)</f>
        <v/>
      </c>
    </row>
    <row r="2277">
      <c r="A2277" s="4" t="inlineStr">
        <is>
          <t>SERV-12273</t>
        </is>
      </c>
      <c r="B2277" s="5" t="inlineStr">
        <is>
          <t>Cargos Comissionados (Assessores / Chefias)</t>
        </is>
      </c>
      <c r="C2277" s="4" t="inlineStr">
        <is>
          <t>Comissionado (DAS)</t>
        </is>
      </c>
      <c r="D2277" s="4" t="inlineStr">
        <is>
          <t>Diversas</t>
        </is>
      </c>
      <c r="E2277" s="6" t="n">
        <v>7522.86</v>
      </c>
      <c r="F2277" s="6">
        <f>E2277*0.22</f>
        <v/>
      </c>
      <c r="G2277" s="6">
        <f>E2277+F2277</f>
        <v/>
      </c>
      <c r="H2277" s="10" t="n">
        <v>3</v>
      </c>
      <c r="I2277" s="7">
        <f>H2277/(180*0.714)</f>
        <v/>
      </c>
    </row>
    <row r="2278">
      <c r="A2278" s="4" t="inlineStr">
        <is>
          <t>SERV-12274</t>
        </is>
      </c>
      <c r="B2278" s="5" t="inlineStr">
        <is>
          <t>Cargos Comissionados (Assessores / Chefias)</t>
        </is>
      </c>
      <c r="C2278" s="4" t="inlineStr">
        <is>
          <t>Comissionado (DAS)</t>
        </is>
      </c>
      <c r="D2278" s="4" t="inlineStr">
        <is>
          <t>Diversas</t>
        </is>
      </c>
      <c r="E2278" s="6" t="n">
        <v>7291.35</v>
      </c>
      <c r="F2278" s="6">
        <f>E2278*0.22</f>
        <v/>
      </c>
      <c r="G2278" s="6">
        <f>E2278+F2278</f>
        <v/>
      </c>
      <c r="H2278" s="10" t="n">
        <v>3</v>
      </c>
      <c r="I2278" s="7">
        <f>H2278/(180*0.714)</f>
        <v/>
      </c>
    </row>
    <row r="2279">
      <c r="A2279" s="4" t="inlineStr">
        <is>
          <t>SERV-12275</t>
        </is>
      </c>
      <c r="B2279" s="5" t="inlineStr">
        <is>
          <t>Cargos Comissionados (Assessores / Chefias)</t>
        </is>
      </c>
      <c r="C2279" s="4" t="inlineStr">
        <is>
          <t>Comissionado (DAS)</t>
        </is>
      </c>
      <c r="D2279" s="4" t="inlineStr">
        <is>
          <t>Diversas</t>
        </is>
      </c>
      <c r="E2279" s="6" t="n">
        <v>7919.17</v>
      </c>
      <c r="F2279" s="6">
        <f>E2279*0.22</f>
        <v/>
      </c>
      <c r="G2279" s="6">
        <f>E2279+F2279</f>
        <v/>
      </c>
      <c r="H2279" s="10" t="n">
        <v>1</v>
      </c>
      <c r="I2279" s="7">
        <f>H2279/(180*0.714)</f>
        <v/>
      </c>
    </row>
    <row r="2280">
      <c r="A2280" s="4" t="inlineStr">
        <is>
          <t>SERV-12276</t>
        </is>
      </c>
      <c r="B2280" s="5" t="inlineStr">
        <is>
          <t>Cargos Comissionados (Assessores / Chefias)</t>
        </is>
      </c>
      <c r="C2280" s="4" t="inlineStr">
        <is>
          <t>Comissionado (DAS)</t>
        </is>
      </c>
      <c r="D2280" s="4" t="inlineStr">
        <is>
          <t>Diversas</t>
        </is>
      </c>
      <c r="E2280" s="6" t="n">
        <v>7781.96</v>
      </c>
      <c r="F2280" s="6">
        <f>E2280*0.22</f>
        <v/>
      </c>
      <c r="G2280" s="6">
        <f>E2280+F2280</f>
        <v/>
      </c>
      <c r="H2280" s="10" t="n">
        <v>2</v>
      </c>
      <c r="I2280" s="7">
        <f>H2280/(180*0.714)</f>
        <v/>
      </c>
    </row>
    <row r="2281">
      <c r="A2281" s="4" t="inlineStr">
        <is>
          <t>SERV-12277</t>
        </is>
      </c>
      <c r="B2281" s="5" t="inlineStr">
        <is>
          <t>Cargos Comissionados (Assessores / Chefias)</t>
        </is>
      </c>
      <c r="C2281" s="4" t="inlineStr">
        <is>
          <t>Comissionado (DAS)</t>
        </is>
      </c>
      <c r="D2281" s="4" t="inlineStr">
        <is>
          <t>Diversas</t>
        </is>
      </c>
      <c r="E2281" s="6" t="n">
        <v>8319.52</v>
      </c>
      <c r="F2281" s="6">
        <f>E2281*0.22</f>
        <v/>
      </c>
      <c r="G2281" s="6">
        <f>E2281+F2281</f>
        <v/>
      </c>
      <c r="H2281" s="10" t="n">
        <v>3</v>
      </c>
      <c r="I2281" s="7">
        <f>H2281/(180*0.714)</f>
        <v/>
      </c>
    </row>
    <row r="2282">
      <c r="A2282" s="4" t="inlineStr">
        <is>
          <t>SERV-12278</t>
        </is>
      </c>
      <c r="B2282" s="5" t="inlineStr">
        <is>
          <t>Cargos Comissionados (Assessores / Chefias)</t>
        </is>
      </c>
      <c r="C2282" s="4" t="inlineStr">
        <is>
          <t>Comissionado (DAS)</t>
        </is>
      </c>
      <c r="D2282" s="4" t="inlineStr">
        <is>
          <t>Diversas</t>
        </is>
      </c>
      <c r="E2282" s="6" t="n">
        <v>8140.12</v>
      </c>
      <c r="F2282" s="6">
        <f>E2282*0.22</f>
        <v/>
      </c>
      <c r="G2282" s="6">
        <f>E2282+F2282</f>
        <v/>
      </c>
      <c r="H2282" s="10" t="n">
        <v>2</v>
      </c>
      <c r="I2282" s="7">
        <f>H2282/(180*0.714)</f>
        <v/>
      </c>
    </row>
    <row r="2283">
      <c r="A2283" s="4" t="inlineStr">
        <is>
          <t>SERV-12279</t>
        </is>
      </c>
      <c r="B2283" s="5" t="inlineStr">
        <is>
          <t>Cargos Comissionados (Assessores / Chefias)</t>
        </is>
      </c>
      <c r="C2283" s="4" t="inlineStr">
        <is>
          <t>Comissionado (DAS)</t>
        </is>
      </c>
      <c r="D2283" s="4" t="inlineStr">
        <is>
          <t>Diversas</t>
        </is>
      </c>
      <c r="E2283" s="6" t="n">
        <v>8105.89</v>
      </c>
      <c r="F2283" s="6">
        <f>E2283*0.22</f>
        <v/>
      </c>
      <c r="G2283" s="6">
        <f>E2283+F2283</f>
        <v/>
      </c>
      <c r="H2283" s="10" t="n">
        <v>0</v>
      </c>
      <c r="I2283" s="7">
        <f>H2283/(180*0.714)</f>
        <v/>
      </c>
    </row>
    <row r="2284">
      <c r="A2284" s="4" t="inlineStr">
        <is>
          <t>SERV-12280</t>
        </is>
      </c>
      <c r="B2284" s="5" t="inlineStr">
        <is>
          <t>Cargos Comissionados (Assessores / Chefias)</t>
        </is>
      </c>
      <c r="C2284" s="4" t="inlineStr">
        <is>
          <t>Comissionado (DAS)</t>
        </is>
      </c>
      <c r="D2284" s="4" t="inlineStr">
        <is>
          <t>Diversas</t>
        </is>
      </c>
      <c r="E2284" s="6" t="n">
        <v>8047.54</v>
      </c>
      <c r="F2284" s="6">
        <f>E2284*0.22</f>
        <v/>
      </c>
      <c r="G2284" s="6">
        <f>E2284+F2284</f>
        <v/>
      </c>
      <c r="H2284" s="10" t="n">
        <v>2</v>
      </c>
      <c r="I2284" s="7">
        <f>H2284/(180*0.714)</f>
        <v/>
      </c>
    </row>
    <row r="2285">
      <c r="A2285" s="4" t="inlineStr">
        <is>
          <t>SERV-12281</t>
        </is>
      </c>
      <c r="B2285" s="5" t="inlineStr">
        <is>
          <t>Cargos Comissionados (Assessores / Chefias)</t>
        </is>
      </c>
      <c r="C2285" s="4" t="inlineStr">
        <is>
          <t>Comissionado (DAS)</t>
        </is>
      </c>
      <c r="D2285" s="4" t="inlineStr">
        <is>
          <t>Diversas</t>
        </is>
      </c>
      <c r="E2285" s="6" t="n">
        <v>6916.32</v>
      </c>
      <c r="F2285" s="6">
        <f>E2285*0.22</f>
        <v/>
      </c>
      <c r="G2285" s="6">
        <f>E2285+F2285</f>
        <v/>
      </c>
      <c r="H2285" s="10" t="n">
        <v>0</v>
      </c>
      <c r="I2285" s="7">
        <f>H2285/(180*0.714)</f>
        <v/>
      </c>
    </row>
    <row r="2286">
      <c r="A2286" s="4" t="inlineStr">
        <is>
          <t>SERV-12282</t>
        </is>
      </c>
      <c r="B2286" s="5" t="inlineStr">
        <is>
          <t>Cargos Comissionados (Assessores / Chefias)</t>
        </is>
      </c>
      <c r="C2286" s="4" t="inlineStr">
        <is>
          <t>Comissionado (DAS)</t>
        </is>
      </c>
      <c r="D2286" s="4" t="inlineStr">
        <is>
          <t>Diversas</t>
        </is>
      </c>
      <c r="E2286" s="6" t="n">
        <v>8294.91</v>
      </c>
      <c r="F2286" s="6">
        <f>E2286*0.22</f>
        <v/>
      </c>
      <c r="G2286" s="6">
        <f>E2286+F2286</f>
        <v/>
      </c>
      <c r="H2286" s="10" t="n">
        <v>1</v>
      </c>
      <c r="I2286" s="7">
        <f>H2286/(180*0.714)</f>
        <v/>
      </c>
    </row>
    <row r="2287">
      <c r="A2287" s="4" t="inlineStr">
        <is>
          <t>SERV-12283</t>
        </is>
      </c>
      <c r="B2287" s="5" t="inlineStr">
        <is>
          <t>Cargos Comissionados (Assessores / Chefias)</t>
        </is>
      </c>
      <c r="C2287" s="4" t="inlineStr">
        <is>
          <t>Comissionado (DAS)</t>
        </is>
      </c>
      <c r="D2287" s="4" t="inlineStr">
        <is>
          <t>Diversas</t>
        </is>
      </c>
      <c r="E2287" s="6" t="n">
        <v>7110.03</v>
      </c>
      <c r="F2287" s="6">
        <f>E2287*0.22</f>
        <v/>
      </c>
      <c r="G2287" s="6">
        <f>E2287+F2287</f>
        <v/>
      </c>
      <c r="H2287" s="10" t="n">
        <v>1</v>
      </c>
      <c r="I2287" s="7">
        <f>H2287/(180*0.714)</f>
        <v/>
      </c>
    </row>
    <row r="2288">
      <c r="A2288" s="4" t="inlineStr">
        <is>
          <t>SERV-12284</t>
        </is>
      </c>
      <c r="B2288" s="5" t="inlineStr">
        <is>
          <t>Cargos Comissionados (Assessores / Chefias)</t>
        </is>
      </c>
      <c r="C2288" s="4" t="inlineStr">
        <is>
          <t>Comissionado (DAS)</t>
        </is>
      </c>
      <c r="D2288" s="4" t="inlineStr">
        <is>
          <t>Diversas</t>
        </is>
      </c>
      <c r="E2288" s="6" t="n">
        <v>6933.29</v>
      </c>
      <c r="F2288" s="6">
        <f>E2288*0.22</f>
        <v/>
      </c>
      <c r="G2288" s="6">
        <f>E2288+F2288</f>
        <v/>
      </c>
      <c r="H2288" s="10" t="n">
        <v>0</v>
      </c>
      <c r="I2288" s="7">
        <f>H2288/(180*0.714)</f>
        <v/>
      </c>
    </row>
    <row r="2289">
      <c r="A2289" s="4" t="inlineStr">
        <is>
          <t>SERV-12285</t>
        </is>
      </c>
      <c r="B2289" s="5" t="inlineStr">
        <is>
          <t>Cargos Comissionados (Assessores / Chefias)</t>
        </is>
      </c>
      <c r="C2289" s="4" t="inlineStr">
        <is>
          <t>Comissionado (DAS)</t>
        </is>
      </c>
      <c r="D2289" s="4" t="inlineStr">
        <is>
          <t>Diversas</t>
        </is>
      </c>
      <c r="E2289" s="6" t="n">
        <v>7887.89</v>
      </c>
      <c r="F2289" s="6">
        <f>E2289*0.22</f>
        <v/>
      </c>
      <c r="G2289" s="6">
        <f>E2289+F2289</f>
        <v/>
      </c>
      <c r="H2289" s="10" t="n">
        <v>1</v>
      </c>
      <c r="I2289" s="7">
        <f>H2289/(180*0.714)</f>
        <v/>
      </c>
    </row>
    <row r="2290">
      <c r="A2290" s="4" t="inlineStr">
        <is>
          <t>SERV-12286</t>
        </is>
      </c>
      <c r="B2290" s="5" t="inlineStr">
        <is>
          <t>Cargos Comissionados (Assessores / Chefias)</t>
        </is>
      </c>
      <c r="C2290" s="4" t="inlineStr">
        <is>
          <t>Comissionado (DAS)</t>
        </is>
      </c>
      <c r="D2290" s="4" t="inlineStr">
        <is>
          <t>Diversas</t>
        </is>
      </c>
      <c r="E2290" s="6" t="n">
        <v>7130.34</v>
      </c>
      <c r="F2290" s="6">
        <f>E2290*0.22</f>
        <v/>
      </c>
      <c r="G2290" s="6">
        <f>E2290+F2290</f>
        <v/>
      </c>
      <c r="H2290" s="10" t="n">
        <v>3</v>
      </c>
      <c r="I2290" s="7">
        <f>H2290/(180*0.714)</f>
        <v/>
      </c>
    </row>
    <row r="2291">
      <c r="A2291" s="4" t="inlineStr">
        <is>
          <t>SERV-12287</t>
        </is>
      </c>
      <c r="B2291" s="5" t="inlineStr">
        <is>
          <t>Cargos Comissionados (Assessores / Chefias)</t>
        </is>
      </c>
      <c r="C2291" s="4" t="inlineStr">
        <is>
          <t>Comissionado (DAS)</t>
        </is>
      </c>
      <c r="D2291" s="4" t="inlineStr">
        <is>
          <t>Diversas</t>
        </is>
      </c>
      <c r="E2291" s="6" t="n">
        <v>8270.549999999999</v>
      </c>
      <c r="F2291" s="6">
        <f>E2291*0.22</f>
        <v/>
      </c>
      <c r="G2291" s="6">
        <f>E2291+F2291</f>
        <v/>
      </c>
      <c r="H2291" s="10" t="n">
        <v>3</v>
      </c>
      <c r="I2291" s="7">
        <f>H2291/(180*0.714)</f>
        <v/>
      </c>
    </row>
    <row r="2292">
      <c r="A2292" s="4" t="inlineStr">
        <is>
          <t>SERV-12288</t>
        </is>
      </c>
      <c r="B2292" s="5" t="inlineStr">
        <is>
          <t>Cargos Comissionados (Assessores / Chefias)</t>
        </is>
      </c>
      <c r="C2292" s="4" t="inlineStr">
        <is>
          <t>Comissionado (DAS)</t>
        </is>
      </c>
      <c r="D2292" s="4" t="inlineStr">
        <is>
          <t>Diversas</t>
        </is>
      </c>
      <c r="E2292" s="6" t="n">
        <v>8260.700000000001</v>
      </c>
      <c r="F2292" s="6">
        <f>E2292*0.22</f>
        <v/>
      </c>
      <c r="G2292" s="6">
        <f>E2292+F2292</f>
        <v/>
      </c>
      <c r="H2292" s="10" t="n">
        <v>1</v>
      </c>
      <c r="I2292" s="7">
        <f>H2292/(180*0.714)</f>
        <v/>
      </c>
    </row>
    <row r="2293">
      <c r="A2293" s="4" t="inlineStr">
        <is>
          <t>SERV-12289</t>
        </is>
      </c>
      <c r="B2293" s="5" t="inlineStr">
        <is>
          <t>Cargos Comissionados (Assessores / Chefias)</t>
        </is>
      </c>
      <c r="C2293" s="4" t="inlineStr">
        <is>
          <t>Comissionado (DAS)</t>
        </is>
      </c>
      <c r="D2293" s="4" t="inlineStr">
        <is>
          <t>Diversas</t>
        </is>
      </c>
      <c r="E2293" s="6" t="n">
        <v>6924.8</v>
      </c>
      <c r="F2293" s="6">
        <f>E2293*0.22</f>
        <v/>
      </c>
      <c r="G2293" s="6">
        <f>E2293+F2293</f>
        <v/>
      </c>
      <c r="H2293" s="10" t="n">
        <v>2</v>
      </c>
      <c r="I2293" s="7">
        <f>H2293/(180*0.714)</f>
        <v/>
      </c>
    </row>
    <row r="2294">
      <c r="A2294" s="4" t="inlineStr">
        <is>
          <t>SERV-12290</t>
        </is>
      </c>
      <c r="B2294" s="5" t="inlineStr">
        <is>
          <t>Cargos Comissionados (Assessores / Chefias)</t>
        </is>
      </c>
      <c r="C2294" s="4" t="inlineStr">
        <is>
          <t>Comissionado (DAS)</t>
        </is>
      </c>
      <c r="D2294" s="4" t="inlineStr">
        <is>
          <t>Diversas</t>
        </is>
      </c>
      <c r="E2294" s="6" t="n">
        <v>7127.59</v>
      </c>
      <c r="F2294" s="6">
        <f>E2294*0.22</f>
        <v/>
      </c>
      <c r="G2294" s="6">
        <f>E2294+F2294</f>
        <v/>
      </c>
      <c r="H2294" s="10" t="n">
        <v>2</v>
      </c>
      <c r="I2294" s="7">
        <f>H2294/(180*0.714)</f>
        <v/>
      </c>
    </row>
    <row r="2295">
      <c r="A2295" s="4" t="inlineStr">
        <is>
          <t>SERV-12291</t>
        </is>
      </c>
      <c r="B2295" s="5" t="inlineStr">
        <is>
          <t>Cargos Comissionados (Assessores / Chefias)</t>
        </is>
      </c>
      <c r="C2295" s="4" t="inlineStr">
        <is>
          <t>Comissionado (DAS)</t>
        </is>
      </c>
      <c r="D2295" s="4" t="inlineStr">
        <is>
          <t>Diversas</t>
        </is>
      </c>
      <c r="E2295" s="6" t="n">
        <v>7336.99</v>
      </c>
      <c r="F2295" s="6">
        <f>E2295*0.22</f>
        <v/>
      </c>
      <c r="G2295" s="6">
        <f>E2295+F2295</f>
        <v/>
      </c>
      <c r="H2295" s="10" t="n">
        <v>3</v>
      </c>
      <c r="I2295" s="7">
        <f>H2295/(180*0.714)</f>
        <v/>
      </c>
    </row>
    <row r="2296">
      <c r="A2296" s="4" t="inlineStr">
        <is>
          <t>SERV-12292</t>
        </is>
      </c>
      <c r="B2296" s="5" t="inlineStr">
        <is>
          <t>Cargos Comissionados (Assessores / Chefias)</t>
        </is>
      </c>
      <c r="C2296" s="4" t="inlineStr">
        <is>
          <t>Comissionado (DAS)</t>
        </is>
      </c>
      <c r="D2296" s="4" t="inlineStr">
        <is>
          <t>Diversas</t>
        </is>
      </c>
      <c r="E2296" s="6" t="n">
        <v>7307.29</v>
      </c>
      <c r="F2296" s="6">
        <f>E2296*0.22</f>
        <v/>
      </c>
      <c r="G2296" s="6">
        <f>E2296+F2296</f>
        <v/>
      </c>
      <c r="H2296" s="10" t="n">
        <v>2</v>
      </c>
      <c r="I2296" s="7">
        <f>H2296/(180*0.714)</f>
        <v/>
      </c>
    </row>
    <row r="2297">
      <c r="A2297" s="4" t="inlineStr">
        <is>
          <t>SERV-12293</t>
        </is>
      </c>
      <c r="B2297" s="5" t="inlineStr">
        <is>
          <t>Cargos Comissionados (Assessores / Chefias)</t>
        </is>
      </c>
      <c r="C2297" s="4" t="inlineStr">
        <is>
          <t>Comissionado (DAS)</t>
        </is>
      </c>
      <c r="D2297" s="4" t="inlineStr">
        <is>
          <t>Diversas</t>
        </is>
      </c>
      <c r="E2297" s="6" t="n">
        <v>7293.52</v>
      </c>
      <c r="F2297" s="6">
        <f>E2297*0.22</f>
        <v/>
      </c>
      <c r="G2297" s="6">
        <f>E2297+F2297</f>
        <v/>
      </c>
      <c r="H2297" s="10" t="n">
        <v>3</v>
      </c>
      <c r="I2297" s="7">
        <f>H2297/(180*0.714)</f>
        <v/>
      </c>
    </row>
    <row r="2298">
      <c r="A2298" s="4" t="inlineStr">
        <is>
          <t>SERV-12294</t>
        </is>
      </c>
      <c r="B2298" s="5" t="inlineStr">
        <is>
          <t>Cargos Comissionados (Assessores / Chefias)</t>
        </is>
      </c>
      <c r="C2298" s="4" t="inlineStr">
        <is>
          <t>Comissionado (DAS)</t>
        </is>
      </c>
      <c r="D2298" s="4" t="inlineStr">
        <is>
          <t>Diversas</t>
        </is>
      </c>
      <c r="E2298" s="6" t="n">
        <v>8011.78</v>
      </c>
      <c r="F2298" s="6">
        <f>E2298*0.22</f>
        <v/>
      </c>
      <c r="G2298" s="6">
        <f>E2298+F2298</f>
        <v/>
      </c>
      <c r="H2298" s="10" t="n">
        <v>1</v>
      </c>
      <c r="I2298" s="7">
        <f>H2298/(180*0.714)</f>
        <v/>
      </c>
    </row>
    <row r="2299">
      <c r="A2299" s="4" t="inlineStr">
        <is>
          <t>SERV-12295</t>
        </is>
      </c>
      <c r="B2299" s="5" t="inlineStr">
        <is>
          <t>Cargos Comissionados (Assessores / Chefias)</t>
        </is>
      </c>
      <c r="C2299" s="4" t="inlineStr">
        <is>
          <t>Comissionado (DAS)</t>
        </is>
      </c>
      <c r="D2299" s="4" t="inlineStr">
        <is>
          <t>Diversas</t>
        </is>
      </c>
      <c r="E2299" s="6" t="n">
        <v>8137.2</v>
      </c>
      <c r="F2299" s="6">
        <f>E2299*0.22</f>
        <v/>
      </c>
      <c r="G2299" s="6">
        <f>E2299+F2299</f>
        <v/>
      </c>
      <c r="H2299" s="10" t="n">
        <v>1</v>
      </c>
      <c r="I2299" s="7">
        <f>H2299/(180*0.714)</f>
        <v/>
      </c>
    </row>
    <row r="2300">
      <c r="A2300" s="4" t="inlineStr">
        <is>
          <t>SERV-12296</t>
        </is>
      </c>
      <c r="B2300" s="5" t="inlineStr">
        <is>
          <t>Cargos Comissionados (Assessores / Chefias)</t>
        </is>
      </c>
      <c r="C2300" s="4" t="inlineStr">
        <is>
          <t>Comissionado (DAS)</t>
        </is>
      </c>
      <c r="D2300" s="4" t="inlineStr">
        <is>
          <t>Diversas</t>
        </is>
      </c>
      <c r="E2300" s="6" t="n">
        <v>7300.35</v>
      </c>
      <c r="F2300" s="6">
        <f>E2300*0.22</f>
        <v/>
      </c>
      <c r="G2300" s="6">
        <f>E2300+F2300</f>
        <v/>
      </c>
      <c r="H2300" s="10" t="n">
        <v>1</v>
      </c>
      <c r="I2300" s="7">
        <f>H2300/(180*0.714)</f>
        <v/>
      </c>
    </row>
    <row r="2301">
      <c r="A2301" s="4" t="inlineStr">
        <is>
          <t>SERV-12297</t>
        </is>
      </c>
      <c r="B2301" s="5" t="inlineStr">
        <is>
          <t>Cargos Comissionados (Assessores / Chefias)</t>
        </is>
      </c>
      <c r="C2301" s="4" t="inlineStr">
        <is>
          <t>Comissionado (DAS)</t>
        </is>
      </c>
      <c r="D2301" s="4" t="inlineStr">
        <is>
          <t>Diversas</t>
        </is>
      </c>
      <c r="E2301" s="6" t="n">
        <v>7165.76</v>
      </c>
      <c r="F2301" s="6">
        <f>E2301*0.22</f>
        <v/>
      </c>
      <c r="G2301" s="6">
        <f>E2301+F2301</f>
        <v/>
      </c>
      <c r="H2301" s="10" t="n">
        <v>1</v>
      </c>
      <c r="I2301" s="7">
        <f>H2301/(180*0.714)</f>
        <v/>
      </c>
    </row>
    <row r="2302">
      <c r="A2302" s="4" t="inlineStr">
        <is>
          <t>SERV-12298</t>
        </is>
      </c>
      <c r="B2302" s="5" t="inlineStr">
        <is>
          <t>Cargos Comissionados (Assessores / Chefias)</t>
        </is>
      </c>
      <c r="C2302" s="4" t="inlineStr">
        <is>
          <t>Comissionado (DAS)</t>
        </is>
      </c>
      <c r="D2302" s="4" t="inlineStr">
        <is>
          <t>Diversas</t>
        </is>
      </c>
      <c r="E2302" s="6" t="n">
        <v>7604.65</v>
      </c>
      <c r="F2302" s="6">
        <f>E2302*0.22</f>
        <v/>
      </c>
      <c r="G2302" s="6">
        <f>E2302+F2302</f>
        <v/>
      </c>
      <c r="H2302" s="10" t="n">
        <v>1</v>
      </c>
      <c r="I2302" s="7">
        <f>H2302/(180*0.714)</f>
        <v/>
      </c>
    </row>
    <row r="2303">
      <c r="A2303" s="4" t="inlineStr">
        <is>
          <t>SERV-12299</t>
        </is>
      </c>
      <c r="B2303" s="5" t="inlineStr">
        <is>
          <t>Cargos Comissionados (Assessores / Chefias)</t>
        </is>
      </c>
      <c r="C2303" s="4" t="inlineStr">
        <is>
          <t>Comissionado (DAS)</t>
        </is>
      </c>
      <c r="D2303" s="4" t="inlineStr">
        <is>
          <t>Diversas</t>
        </is>
      </c>
      <c r="E2303" s="6" t="n">
        <v>7297.09</v>
      </c>
      <c r="F2303" s="6">
        <f>E2303*0.22</f>
        <v/>
      </c>
      <c r="G2303" s="6">
        <f>E2303+F2303</f>
        <v/>
      </c>
      <c r="H2303" s="10" t="n">
        <v>2</v>
      </c>
      <c r="I2303" s="7">
        <f>H2303/(180*0.714)</f>
        <v/>
      </c>
    </row>
    <row r="2304">
      <c r="A2304" s="4" t="inlineStr">
        <is>
          <t>SERV-12300</t>
        </is>
      </c>
      <c r="B2304" s="5" t="inlineStr">
        <is>
          <t>Cargos Comissionados (Assessores / Chefias)</t>
        </is>
      </c>
      <c r="C2304" s="4" t="inlineStr">
        <is>
          <t>Comissionado (DAS)</t>
        </is>
      </c>
      <c r="D2304" s="4" t="inlineStr">
        <is>
          <t>Diversas</t>
        </is>
      </c>
      <c r="E2304" s="6" t="n">
        <v>6956.68</v>
      </c>
      <c r="F2304" s="6">
        <f>E2304*0.22</f>
        <v/>
      </c>
      <c r="G2304" s="6">
        <f>E2304+F2304</f>
        <v/>
      </c>
      <c r="H2304" s="10" t="n">
        <v>3</v>
      </c>
      <c r="I2304" s="7">
        <f>H2304/(180*0.714)</f>
        <v/>
      </c>
    </row>
    <row r="2305">
      <c r="A2305" s="4" t="inlineStr">
        <is>
          <t>SERV-12301</t>
        </is>
      </c>
      <c r="B2305" s="5" t="inlineStr">
        <is>
          <t>Cargos Comissionados (Assessores / Chefias)</t>
        </is>
      </c>
      <c r="C2305" s="4" t="inlineStr">
        <is>
          <t>Comissionado (DAS)</t>
        </is>
      </c>
      <c r="D2305" s="4" t="inlineStr">
        <is>
          <t>Diversas</t>
        </is>
      </c>
      <c r="E2305" s="6" t="n">
        <v>8162.29</v>
      </c>
      <c r="F2305" s="6">
        <f>E2305*0.22</f>
        <v/>
      </c>
      <c r="G2305" s="6">
        <f>E2305+F2305</f>
        <v/>
      </c>
      <c r="H2305" s="10" t="n">
        <v>3</v>
      </c>
      <c r="I2305" s="7">
        <f>H2305/(180*0.714)</f>
        <v/>
      </c>
    </row>
    <row r="2306">
      <c r="A2306" s="4" t="inlineStr">
        <is>
          <t>SERV-12302</t>
        </is>
      </c>
      <c r="B2306" s="5" t="inlineStr">
        <is>
          <t>Cargos Comissionados (Assessores / Chefias)</t>
        </is>
      </c>
      <c r="C2306" s="4" t="inlineStr">
        <is>
          <t>Comissionado (DAS)</t>
        </is>
      </c>
      <c r="D2306" s="4" t="inlineStr">
        <is>
          <t>Diversas</t>
        </is>
      </c>
      <c r="E2306" s="6" t="n">
        <v>7441.73</v>
      </c>
      <c r="F2306" s="6">
        <f>E2306*0.22</f>
        <v/>
      </c>
      <c r="G2306" s="6">
        <f>E2306+F2306</f>
        <v/>
      </c>
      <c r="H2306" s="10" t="n">
        <v>3</v>
      </c>
      <c r="I2306" s="7">
        <f>H2306/(180*0.714)</f>
        <v/>
      </c>
    </row>
    <row r="2307">
      <c r="A2307" s="4" t="inlineStr">
        <is>
          <t>SERV-12303</t>
        </is>
      </c>
      <c r="B2307" s="5" t="inlineStr">
        <is>
          <t>Cargos Comissionados (Assessores / Chefias)</t>
        </is>
      </c>
      <c r="C2307" s="4" t="inlineStr">
        <is>
          <t>Comissionado (DAS)</t>
        </is>
      </c>
      <c r="D2307" s="4" t="inlineStr">
        <is>
          <t>Diversas</t>
        </is>
      </c>
      <c r="E2307" s="6" t="n">
        <v>7062.31</v>
      </c>
      <c r="F2307" s="6">
        <f>E2307*0.22</f>
        <v/>
      </c>
      <c r="G2307" s="6">
        <f>E2307+F2307</f>
        <v/>
      </c>
      <c r="H2307" s="10" t="n">
        <v>1</v>
      </c>
      <c r="I2307" s="7">
        <f>H2307/(180*0.714)</f>
        <v/>
      </c>
    </row>
    <row r="2308">
      <c r="A2308" s="4" t="inlineStr">
        <is>
          <t>SERV-12304</t>
        </is>
      </c>
      <c r="B2308" s="5" t="inlineStr">
        <is>
          <t>Cargos Comissionados (Assessores / Chefias)</t>
        </is>
      </c>
      <c r="C2308" s="4" t="inlineStr">
        <is>
          <t>Comissionado (DAS)</t>
        </is>
      </c>
      <c r="D2308" s="4" t="inlineStr">
        <is>
          <t>Diversas</t>
        </is>
      </c>
      <c r="E2308" s="6" t="n">
        <v>8186.93</v>
      </c>
      <c r="F2308" s="6">
        <f>E2308*0.22</f>
        <v/>
      </c>
      <c r="G2308" s="6">
        <f>E2308+F2308</f>
        <v/>
      </c>
      <c r="H2308" s="10" t="n">
        <v>3</v>
      </c>
      <c r="I2308" s="7">
        <f>H2308/(180*0.714)</f>
        <v/>
      </c>
    </row>
    <row r="2309">
      <c r="A2309" s="4" t="inlineStr">
        <is>
          <t>SERV-12305</t>
        </is>
      </c>
      <c r="B2309" s="5" t="inlineStr">
        <is>
          <t>Cargos Comissionados (Assessores / Chefias)</t>
        </is>
      </c>
      <c r="C2309" s="4" t="inlineStr">
        <is>
          <t>Comissionado (DAS)</t>
        </is>
      </c>
      <c r="D2309" s="4" t="inlineStr">
        <is>
          <t>Diversas</t>
        </is>
      </c>
      <c r="E2309" s="6" t="n">
        <v>7878.19</v>
      </c>
      <c r="F2309" s="6">
        <f>E2309*0.22</f>
        <v/>
      </c>
      <c r="G2309" s="6">
        <f>E2309+F2309</f>
        <v/>
      </c>
      <c r="H2309" s="10" t="n">
        <v>2</v>
      </c>
      <c r="I2309" s="7">
        <f>H2309/(180*0.714)</f>
        <v/>
      </c>
    </row>
    <row r="2310">
      <c r="A2310" s="4" t="inlineStr">
        <is>
          <t>SERV-12306</t>
        </is>
      </c>
      <c r="B2310" s="5" t="inlineStr">
        <is>
          <t>Cargos Comissionados (Assessores / Chefias)</t>
        </is>
      </c>
      <c r="C2310" s="4" t="inlineStr">
        <is>
          <t>Comissionado (DAS)</t>
        </is>
      </c>
      <c r="D2310" s="4" t="inlineStr">
        <is>
          <t>Diversas</t>
        </is>
      </c>
      <c r="E2310" s="6" t="n">
        <v>6947.18</v>
      </c>
      <c r="F2310" s="6">
        <f>E2310*0.22</f>
        <v/>
      </c>
      <c r="G2310" s="6">
        <f>E2310+F2310</f>
        <v/>
      </c>
      <c r="H2310" s="10" t="n">
        <v>2</v>
      </c>
      <c r="I2310" s="7">
        <f>H2310/(180*0.714)</f>
        <v/>
      </c>
    </row>
    <row r="2311">
      <c r="A2311" s="4" t="inlineStr">
        <is>
          <t>SERV-12307</t>
        </is>
      </c>
      <c r="B2311" s="5" t="inlineStr">
        <is>
          <t>Cargos Comissionados (Assessores / Chefias)</t>
        </is>
      </c>
      <c r="C2311" s="4" t="inlineStr">
        <is>
          <t>Comissionado (DAS)</t>
        </is>
      </c>
      <c r="D2311" s="4" t="inlineStr">
        <is>
          <t>Diversas</t>
        </is>
      </c>
      <c r="E2311" s="6" t="n">
        <v>7901.32</v>
      </c>
      <c r="F2311" s="6">
        <f>E2311*0.22</f>
        <v/>
      </c>
      <c r="G2311" s="6">
        <f>E2311+F2311</f>
        <v/>
      </c>
      <c r="H2311" s="10" t="n">
        <v>1</v>
      </c>
      <c r="I2311" s="7">
        <f>H2311/(180*0.714)</f>
        <v/>
      </c>
    </row>
    <row r="2312">
      <c r="A2312" s="4" t="inlineStr">
        <is>
          <t>SERV-12308</t>
        </is>
      </c>
      <c r="B2312" s="5" t="inlineStr">
        <is>
          <t>Cargos Comissionados (Assessores / Chefias)</t>
        </is>
      </c>
      <c r="C2312" s="4" t="inlineStr">
        <is>
          <t>Comissionado (DAS)</t>
        </is>
      </c>
      <c r="D2312" s="4" t="inlineStr">
        <is>
          <t>Diversas</t>
        </is>
      </c>
      <c r="E2312" s="6" t="n">
        <v>7023.84</v>
      </c>
      <c r="F2312" s="6">
        <f>E2312*0.22</f>
        <v/>
      </c>
      <c r="G2312" s="6">
        <f>E2312+F2312</f>
        <v/>
      </c>
      <c r="H2312" s="10" t="n">
        <v>3</v>
      </c>
      <c r="I2312" s="7">
        <f>H2312/(180*0.714)</f>
        <v/>
      </c>
    </row>
    <row r="2313">
      <c r="A2313" s="4" t="inlineStr">
        <is>
          <t>SERV-12309</t>
        </is>
      </c>
      <c r="B2313" s="5" t="inlineStr">
        <is>
          <t>Cargos Comissionados (Assessores / Chefias)</t>
        </is>
      </c>
      <c r="C2313" s="4" t="inlineStr">
        <is>
          <t>Comissionado (DAS)</t>
        </is>
      </c>
      <c r="D2313" s="4" t="inlineStr">
        <is>
          <t>Diversas</t>
        </is>
      </c>
      <c r="E2313" s="6" t="n">
        <v>7334.53</v>
      </c>
      <c r="F2313" s="6">
        <f>E2313*0.22</f>
        <v/>
      </c>
      <c r="G2313" s="6">
        <f>E2313+F2313</f>
        <v/>
      </c>
      <c r="H2313" s="10" t="n">
        <v>3</v>
      </c>
      <c r="I2313" s="7">
        <f>H2313/(180*0.714)</f>
        <v/>
      </c>
    </row>
    <row r="2314">
      <c r="A2314" s="4" t="inlineStr">
        <is>
          <t>SERV-12310</t>
        </is>
      </c>
      <c r="B2314" s="5" t="inlineStr">
        <is>
          <t>Cargos Comissionados (Assessores / Chefias)</t>
        </is>
      </c>
      <c r="C2314" s="4" t="inlineStr">
        <is>
          <t>Comissionado (DAS)</t>
        </is>
      </c>
      <c r="D2314" s="4" t="inlineStr">
        <is>
          <t>Diversas</t>
        </is>
      </c>
      <c r="E2314" s="6" t="n">
        <v>7977.51</v>
      </c>
      <c r="F2314" s="6">
        <f>E2314*0.22</f>
        <v/>
      </c>
      <c r="G2314" s="6">
        <f>E2314+F2314</f>
        <v/>
      </c>
      <c r="H2314" s="10" t="n">
        <v>1</v>
      </c>
      <c r="I2314" s="7">
        <f>H2314/(180*0.714)</f>
        <v/>
      </c>
    </row>
    <row r="2315">
      <c r="A2315" s="4" t="inlineStr">
        <is>
          <t>SERV-12311</t>
        </is>
      </c>
      <c r="B2315" s="5" t="inlineStr">
        <is>
          <t>Cargos Comissionados (Assessores / Chefias)</t>
        </is>
      </c>
      <c r="C2315" s="4" t="inlineStr">
        <is>
          <t>Comissionado (DAS)</t>
        </is>
      </c>
      <c r="D2315" s="4" t="inlineStr">
        <is>
          <t>Diversas</t>
        </is>
      </c>
      <c r="E2315" s="6" t="n">
        <v>8142.59</v>
      </c>
      <c r="F2315" s="6">
        <f>E2315*0.22</f>
        <v/>
      </c>
      <c r="G2315" s="6">
        <f>E2315+F2315</f>
        <v/>
      </c>
      <c r="H2315" s="10" t="n">
        <v>1</v>
      </c>
      <c r="I2315" s="7">
        <f>H2315/(180*0.714)</f>
        <v/>
      </c>
    </row>
    <row r="2316">
      <c r="A2316" s="4" t="inlineStr">
        <is>
          <t>SERV-12312</t>
        </is>
      </c>
      <c r="B2316" s="5" t="inlineStr">
        <is>
          <t>Cargos Comissionados (Assessores / Chefias)</t>
        </is>
      </c>
      <c r="C2316" s="4" t="inlineStr">
        <is>
          <t>Comissionado (DAS)</t>
        </is>
      </c>
      <c r="D2316" s="4" t="inlineStr">
        <is>
          <t>Diversas</t>
        </is>
      </c>
      <c r="E2316" s="6" t="n">
        <v>7632.58</v>
      </c>
      <c r="F2316" s="6">
        <f>E2316*0.22</f>
        <v/>
      </c>
      <c r="G2316" s="6">
        <f>E2316+F2316</f>
        <v/>
      </c>
      <c r="H2316" s="10" t="n">
        <v>2</v>
      </c>
      <c r="I2316" s="7">
        <f>H2316/(180*0.714)</f>
        <v/>
      </c>
    </row>
    <row r="2317">
      <c r="A2317" s="4" t="inlineStr">
        <is>
          <t>SERV-12313</t>
        </is>
      </c>
      <c r="B2317" s="5" t="inlineStr">
        <is>
          <t>Cargos Comissionados (Assessores / Chefias)</t>
        </is>
      </c>
      <c r="C2317" s="4" t="inlineStr">
        <is>
          <t>Comissionado (DAS)</t>
        </is>
      </c>
      <c r="D2317" s="4" t="inlineStr">
        <is>
          <t>Diversas</t>
        </is>
      </c>
      <c r="E2317" s="6" t="n">
        <v>7934.46</v>
      </c>
      <c r="F2317" s="6">
        <f>E2317*0.22</f>
        <v/>
      </c>
      <c r="G2317" s="6">
        <f>E2317+F2317</f>
        <v/>
      </c>
      <c r="H2317" s="10" t="n">
        <v>0</v>
      </c>
      <c r="I2317" s="7">
        <f>H2317/(180*0.714)</f>
        <v/>
      </c>
    </row>
    <row r="2318">
      <c r="A2318" s="4" t="inlineStr">
        <is>
          <t>SERV-12314</t>
        </is>
      </c>
      <c r="B2318" s="5" t="inlineStr">
        <is>
          <t>Cargos Comissionados (Assessores / Chefias)</t>
        </is>
      </c>
      <c r="C2318" s="4" t="inlineStr">
        <is>
          <t>Comissionado (DAS)</t>
        </is>
      </c>
      <c r="D2318" s="4" t="inlineStr">
        <is>
          <t>Diversas</t>
        </is>
      </c>
      <c r="E2318" s="6" t="n">
        <v>7716.28</v>
      </c>
      <c r="F2318" s="6">
        <f>E2318*0.22</f>
        <v/>
      </c>
      <c r="G2318" s="6">
        <f>E2318+F2318</f>
        <v/>
      </c>
      <c r="H2318" s="10" t="n">
        <v>1</v>
      </c>
      <c r="I2318" s="7">
        <f>H2318/(180*0.714)</f>
        <v/>
      </c>
    </row>
    <row r="2319">
      <c r="A2319" s="4" t="inlineStr">
        <is>
          <t>SERV-12315</t>
        </is>
      </c>
      <c r="B2319" s="5" t="inlineStr">
        <is>
          <t>Cargos Comissionados (Assessores / Chefias)</t>
        </is>
      </c>
      <c r="C2319" s="4" t="inlineStr">
        <is>
          <t>Comissionado (DAS)</t>
        </is>
      </c>
      <c r="D2319" s="4" t="inlineStr">
        <is>
          <t>Diversas</t>
        </is>
      </c>
      <c r="E2319" s="6" t="n">
        <v>8223.67</v>
      </c>
      <c r="F2319" s="6">
        <f>E2319*0.22</f>
        <v/>
      </c>
      <c r="G2319" s="6">
        <f>E2319+F2319</f>
        <v/>
      </c>
      <c r="H2319" s="10" t="n">
        <v>1</v>
      </c>
      <c r="I2319" s="7">
        <f>H2319/(180*0.714)</f>
        <v/>
      </c>
    </row>
    <row r="2320">
      <c r="A2320" s="4" t="inlineStr">
        <is>
          <t>SERV-12316</t>
        </is>
      </c>
      <c r="B2320" s="5" t="inlineStr">
        <is>
          <t>Cargos Comissionados (Assessores / Chefias)</t>
        </is>
      </c>
      <c r="C2320" s="4" t="inlineStr">
        <is>
          <t>Comissionado (DAS)</t>
        </is>
      </c>
      <c r="D2320" s="4" t="inlineStr">
        <is>
          <t>Diversas</t>
        </is>
      </c>
      <c r="E2320" s="6" t="n">
        <v>7287.65</v>
      </c>
      <c r="F2320" s="6">
        <f>E2320*0.22</f>
        <v/>
      </c>
      <c r="G2320" s="6">
        <f>E2320+F2320</f>
        <v/>
      </c>
      <c r="H2320" s="10" t="n">
        <v>2</v>
      </c>
      <c r="I2320" s="7">
        <f>H2320/(180*0.714)</f>
        <v/>
      </c>
    </row>
    <row r="2321">
      <c r="A2321" s="4" t="inlineStr">
        <is>
          <t>SERV-12317</t>
        </is>
      </c>
      <c r="B2321" s="5" t="inlineStr">
        <is>
          <t>Cargos Comissionados (Assessores / Chefias)</t>
        </is>
      </c>
      <c r="C2321" s="4" t="inlineStr">
        <is>
          <t>Comissionado (DAS)</t>
        </is>
      </c>
      <c r="D2321" s="4" t="inlineStr">
        <is>
          <t>Diversas</t>
        </is>
      </c>
      <c r="E2321" s="6" t="n">
        <v>7497.5</v>
      </c>
      <c r="F2321" s="6">
        <f>E2321*0.22</f>
        <v/>
      </c>
      <c r="G2321" s="6">
        <f>E2321+F2321</f>
        <v/>
      </c>
      <c r="H2321" s="10" t="n">
        <v>0</v>
      </c>
      <c r="I2321" s="7">
        <f>H2321/(180*0.714)</f>
        <v/>
      </c>
    </row>
    <row r="2322">
      <c r="A2322" s="4" t="inlineStr">
        <is>
          <t>SERV-12318</t>
        </is>
      </c>
      <c r="B2322" s="5" t="inlineStr">
        <is>
          <t>Cargos Comissionados (Assessores / Chefias)</t>
        </is>
      </c>
      <c r="C2322" s="4" t="inlineStr">
        <is>
          <t>Comissionado (DAS)</t>
        </is>
      </c>
      <c r="D2322" s="4" t="inlineStr">
        <is>
          <t>Diversas</t>
        </is>
      </c>
      <c r="E2322" s="6" t="n">
        <v>7690.13</v>
      </c>
      <c r="F2322" s="6">
        <f>E2322*0.22</f>
        <v/>
      </c>
      <c r="G2322" s="6">
        <f>E2322+F2322</f>
        <v/>
      </c>
      <c r="H2322" s="10" t="n">
        <v>3</v>
      </c>
      <c r="I2322" s="7">
        <f>H2322/(180*0.714)</f>
        <v/>
      </c>
    </row>
    <row r="2323">
      <c r="A2323" s="4" t="inlineStr">
        <is>
          <t>SERV-12319</t>
        </is>
      </c>
      <c r="B2323" s="5" t="inlineStr">
        <is>
          <t>Cargos Comissionados (Assessores / Chefias)</t>
        </is>
      </c>
      <c r="C2323" s="4" t="inlineStr">
        <is>
          <t>Comissionado (DAS)</t>
        </is>
      </c>
      <c r="D2323" s="4" t="inlineStr">
        <is>
          <t>Diversas</t>
        </is>
      </c>
      <c r="E2323" s="6" t="n">
        <v>7062.76</v>
      </c>
      <c r="F2323" s="6">
        <f>E2323*0.22</f>
        <v/>
      </c>
      <c r="G2323" s="6">
        <f>E2323+F2323</f>
        <v/>
      </c>
      <c r="H2323" s="10" t="n">
        <v>2</v>
      </c>
      <c r="I2323" s="7">
        <f>H2323/(180*0.714)</f>
        <v/>
      </c>
    </row>
    <row r="2324">
      <c r="A2324" s="4" t="inlineStr">
        <is>
          <t>SERV-12320</t>
        </is>
      </c>
      <c r="B2324" s="5" t="inlineStr">
        <is>
          <t>Cargos Comissionados (Assessores / Chefias)</t>
        </is>
      </c>
      <c r="C2324" s="4" t="inlineStr">
        <is>
          <t>Comissionado (DAS)</t>
        </is>
      </c>
      <c r="D2324" s="4" t="inlineStr">
        <is>
          <t>Diversas</t>
        </is>
      </c>
      <c r="E2324" s="6" t="n">
        <v>7532.25</v>
      </c>
      <c r="F2324" s="6">
        <f>E2324*0.22</f>
        <v/>
      </c>
      <c r="G2324" s="6">
        <f>E2324+F2324</f>
        <v/>
      </c>
      <c r="H2324" s="10" t="n">
        <v>2</v>
      </c>
      <c r="I2324" s="7">
        <f>H2324/(180*0.714)</f>
        <v/>
      </c>
    </row>
    <row r="2325">
      <c r="A2325" s="4" t="inlineStr">
        <is>
          <t>SERV-12321</t>
        </is>
      </c>
      <c r="B2325" s="5" t="inlineStr">
        <is>
          <t>Cargos Comissionados (Assessores / Chefias)</t>
        </is>
      </c>
      <c r="C2325" s="4" t="inlineStr">
        <is>
          <t>Comissionado (DAS)</t>
        </is>
      </c>
      <c r="D2325" s="4" t="inlineStr">
        <is>
          <t>Diversas</t>
        </is>
      </c>
      <c r="E2325" s="6" t="n">
        <v>8346.469999999999</v>
      </c>
      <c r="F2325" s="6">
        <f>E2325*0.22</f>
        <v/>
      </c>
      <c r="G2325" s="6">
        <f>E2325+F2325</f>
        <v/>
      </c>
      <c r="H2325" s="10" t="n">
        <v>0</v>
      </c>
      <c r="I2325" s="7">
        <f>H2325/(180*0.714)</f>
        <v/>
      </c>
    </row>
    <row r="2326">
      <c r="A2326" s="4" t="inlineStr">
        <is>
          <t>SERV-12322</t>
        </is>
      </c>
      <c r="B2326" s="5" t="inlineStr">
        <is>
          <t>Cargos Comissionados (Assessores / Chefias)</t>
        </is>
      </c>
      <c r="C2326" s="4" t="inlineStr">
        <is>
          <t>Comissionado (DAS)</t>
        </is>
      </c>
      <c r="D2326" s="4" t="inlineStr">
        <is>
          <t>Diversas</t>
        </is>
      </c>
      <c r="E2326" s="6" t="n">
        <v>7667.19</v>
      </c>
      <c r="F2326" s="6">
        <f>E2326*0.22</f>
        <v/>
      </c>
      <c r="G2326" s="6">
        <f>E2326+F2326</f>
        <v/>
      </c>
      <c r="H2326" s="10" t="n">
        <v>2</v>
      </c>
      <c r="I2326" s="7">
        <f>H2326/(180*0.714)</f>
        <v/>
      </c>
    </row>
    <row r="2327">
      <c r="A2327" s="4" t="inlineStr">
        <is>
          <t>SERV-12323</t>
        </is>
      </c>
      <c r="B2327" s="5" t="inlineStr">
        <is>
          <t>Cargos Comissionados (Assessores / Chefias)</t>
        </is>
      </c>
      <c r="C2327" s="4" t="inlineStr">
        <is>
          <t>Comissionado (DAS)</t>
        </is>
      </c>
      <c r="D2327" s="4" t="inlineStr">
        <is>
          <t>Diversas</t>
        </is>
      </c>
      <c r="E2327" s="6" t="n">
        <v>7542.98</v>
      </c>
      <c r="F2327" s="6">
        <f>E2327*0.22</f>
        <v/>
      </c>
      <c r="G2327" s="6">
        <f>E2327+F2327</f>
        <v/>
      </c>
      <c r="H2327" s="10" t="n">
        <v>1</v>
      </c>
      <c r="I2327" s="7">
        <f>H2327/(180*0.714)</f>
        <v/>
      </c>
    </row>
    <row r="2328">
      <c r="A2328" s="4" t="inlineStr">
        <is>
          <t>SERV-12324</t>
        </is>
      </c>
      <c r="B2328" s="5" t="inlineStr">
        <is>
          <t>Cargos Comissionados (Assessores / Chefias)</t>
        </is>
      </c>
      <c r="C2328" s="4" t="inlineStr">
        <is>
          <t>Comissionado (DAS)</t>
        </is>
      </c>
      <c r="D2328" s="4" t="inlineStr">
        <is>
          <t>Diversas</t>
        </is>
      </c>
      <c r="E2328" s="6" t="n">
        <v>7874.1</v>
      </c>
      <c r="F2328" s="6">
        <f>E2328*0.22</f>
        <v/>
      </c>
      <c r="G2328" s="6">
        <f>E2328+F2328</f>
        <v/>
      </c>
      <c r="H2328" s="10" t="n">
        <v>2</v>
      </c>
      <c r="I2328" s="7">
        <f>H2328/(180*0.714)</f>
        <v/>
      </c>
    </row>
    <row r="2329">
      <c r="A2329" s="4" t="inlineStr">
        <is>
          <t>SERV-12325</t>
        </is>
      </c>
      <c r="B2329" s="5" t="inlineStr">
        <is>
          <t>Cargos Comissionados (Assessores / Chefias)</t>
        </is>
      </c>
      <c r="C2329" s="4" t="inlineStr">
        <is>
          <t>Comissionado (DAS)</t>
        </is>
      </c>
      <c r="D2329" s="4" t="inlineStr">
        <is>
          <t>Diversas</t>
        </is>
      </c>
      <c r="E2329" s="6" t="n">
        <v>8029.69</v>
      </c>
      <c r="F2329" s="6">
        <f>E2329*0.22</f>
        <v/>
      </c>
      <c r="G2329" s="6">
        <f>E2329+F2329</f>
        <v/>
      </c>
      <c r="H2329" s="10" t="n">
        <v>3</v>
      </c>
      <c r="I2329" s="7">
        <f>H2329/(180*0.714)</f>
        <v/>
      </c>
    </row>
    <row r="2330">
      <c r="A2330" s="4" t="inlineStr">
        <is>
          <t>SERV-12326</t>
        </is>
      </c>
      <c r="B2330" s="5" t="inlineStr">
        <is>
          <t>Cargos Comissionados (Assessores / Chefias)</t>
        </is>
      </c>
      <c r="C2330" s="4" t="inlineStr">
        <is>
          <t>Comissionado (DAS)</t>
        </is>
      </c>
      <c r="D2330" s="4" t="inlineStr">
        <is>
          <t>Diversas</t>
        </is>
      </c>
      <c r="E2330" s="6" t="n">
        <v>8312.25</v>
      </c>
      <c r="F2330" s="6">
        <f>E2330*0.22</f>
        <v/>
      </c>
      <c r="G2330" s="6">
        <f>E2330+F2330</f>
        <v/>
      </c>
      <c r="H2330" s="10" t="n">
        <v>3</v>
      </c>
      <c r="I2330" s="7">
        <f>H2330/(180*0.714)</f>
        <v/>
      </c>
    </row>
    <row r="2331">
      <c r="A2331" s="4" t="inlineStr">
        <is>
          <t>SERV-12327</t>
        </is>
      </c>
      <c r="B2331" s="5" t="inlineStr">
        <is>
          <t>Cargos Comissionados (Assessores / Chefias)</t>
        </is>
      </c>
      <c r="C2331" s="4" t="inlineStr">
        <is>
          <t>Comissionado (DAS)</t>
        </is>
      </c>
      <c r="D2331" s="4" t="inlineStr">
        <is>
          <t>Diversas</t>
        </is>
      </c>
      <c r="E2331" s="6" t="n">
        <v>8281.57</v>
      </c>
      <c r="F2331" s="6">
        <f>E2331*0.22</f>
        <v/>
      </c>
      <c r="G2331" s="6">
        <f>E2331+F2331</f>
        <v/>
      </c>
      <c r="H2331" s="10" t="n">
        <v>2</v>
      </c>
      <c r="I2331" s="7">
        <f>H2331/(180*0.714)</f>
        <v/>
      </c>
    </row>
    <row r="2332">
      <c r="A2332" s="4" t="inlineStr">
        <is>
          <t>SERV-12328</t>
        </is>
      </c>
      <c r="B2332" s="5" t="inlineStr">
        <is>
          <t>Cargos Comissionados (Assessores / Chefias)</t>
        </is>
      </c>
      <c r="C2332" s="4" t="inlineStr">
        <is>
          <t>Comissionado (DAS)</t>
        </is>
      </c>
      <c r="D2332" s="4" t="inlineStr">
        <is>
          <t>Diversas</t>
        </is>
      </c>
      <c r="E2332" s="6" t="n">
        <v>6950.99</v>
      </c>
      <c r="F2332" s="6">
        <f>E2332*0.22</f>
        <v/>
      </c>
      <c r="G2332" s="6">
        <f>E2332+F2332</f>
        <v/>
      </c>
      <c r="H2332" s="10" t="n">
        <v>1</v>
      </c>
      <c r="I2332" s="7">
        <f>H2332/(180*0.714)</f>
        <v/>
      </c>
    </row>
    <row r="2333">
      <c r="A2333" s="4" t="inlineStr">
        <is>
          <t>SERV-12329</t>
        </is>
      </c>
      <c r="B2333" s="5" t="inlineStr">
        <is>
          <t>Cargos Comissionados (Assessores / Chefias)</t>
        </is>
      </c>
      <c r="C2333" s="4" t="inlineStr">
        <is>
          <t>Comissionado (DAS)</t>
        </is>
      </c>
      <c r="D2333" s="4" t="inlineStr">
        <is>
          <t>Diversas</t>
        </is>
      </c>
      <c r="E2333" s="6" t="n">
        <v>7289.07</v>
      </c>
      <c r="F2333" s="6">
        <f>E2333*0.22</f>
        <v/>
      </c>
      <c r="G2333" s="6">
        <f>E2333+F2333</f>
        <v/>
      </c>
      <c r="H2333" s="10" t="n">
        <v>1</v>
      </c>
      <c r="I2333" s="7">
        <f>H2333/(180*0.714)</f>
        <v/>
      </c>
    </row>
    <row r="2334">
      <c r="A2334" s="4" t="inlineStr">
        <is>
          <t>SERV-12330</t>
        </is>
      </c>
      <c r="B2334" s="5" t="inlineStr">
        <is>
          <t>Cargos Comissionados (Assessores / Chefias)</t>
        </is>
      </c>
      <c r="C2334" s="4" t="inlineStr">
        <is>
          <t>Comissionado (DAS)</t>
        </is>
      </c>
      <c r="D2334" s="4" t="inlineStr">
        <is>
          <t>Diversas</t>
        </is>
      </c>
      <c r="E2334" s="6" t="n">
        <v>7259.9</v>
      </c>
      <c r="F2334" s="6">
        <f>E2334*0.22</f>
        <v/>
      </c>
      <c r="G2334" s="6">
        <f>E2334+F2334</f>
        <v/>
      </c>
      <c r="H2334" s="10" t="n">
        <v>3</v>
      </c>
      <c r="I2334" s="7">
        <f>H2334/(180*0.714)</f>
        <v/>
      </c>
    </row>
    <row r="2335">
      <c r="A2335" s="4" t="inlineStr">
        <is>
          <t>SERV-12331</t>
        </is>
      </c>
      <c r="B2335" s="5" t="inlineStr">
        <is>
          <t>Cargos Comissionados (Assessores / Chefias)</t>
        </is>
      </c>
      <c r="C2335" s="4" t="inlineStr">
        <is>
          <t>Comissionado (DAS)</t>
        </is>
      </c>
      <c r="D2335" s="4" t="inlineStr">
        <is>
          <t>Diversas</t>
        </is>
      </c>
      <c r="E2335" s="6" t="n">
        <v>8008.61</v>
      </c>
      <c r="F2335" s="6">
        <f>E2335*0.22</f>
        <v/>
      </c>
      <c r="G2335" s="6">
        <f>E2335+F2335</f>
        <v/>
      </c>
      <c r="H2335" s="10" t="n">
        <v>3</v>
      </c>
      <c r="I2335" s="7">
        <f>H2335/(180*0.714)</f>
        <v/>
      </c>
    </row>
    <row r="2336">
      <c r="A2336" s="4" t="inlineStr">
        <is>
          <t>SERV-12332</t>
        </is>
      </c>
      <c r="B2336" s="5" t="inlineStr">
        <is>
          <t>Cargos Comissionados (Assessores / Chefias)</t>
        </is>
      </c>
      <c r="C2336" s="4" t="inlineStr">
        <is>
          <t>Comissionado (DAS)</t>
        </is>
      </c>
      <c r="D2336" s="4" t="inlineStr">
        <is>
          <t>Diversas</t>
        </is>
      </c>
      <c r="E2336" s="6" t="n">
        <v>7949.33</v>
      </c>
      <c r="F2336" s="6">
        <f>E2336*0.22</f>
        <v/>
      </c>
      <c r="G2336" s="6">
        <f>E2336+F2336</f>
        <v/>
      </c>
      <c r="H2336" s="10" t="n">
        <v>0</v>
      </c>
      <c r="I2336" s="7">
        <f>H2336/(180*0.714)</f>
        <v/>
      </c>
    </row>
    <row r="2337">
      <c r="A2337" s="4" t="inlineStr">
        <is>
          <t>SERV-12333</t>
        </is>
      </c>
      <c r="B2337" s="5" t="inlineStr">
        <is>
          <t>Cargos Comissionados (Assessores / Chefias)</t>
        </is>
      </c>
      <c r="C2337" s="4" t="inlineStr">
        <is>
          <t>Comissionado (DAS)</t>
        </is>
      </c>
      <c r="D2337" s="4" t="inlineStr">
        <is>
          <t>Diversas</t>
        </is>
      </c>
      <c r="E2337" s="6" t="n">
        <v>7594.83</v>
      </c>
      <c r="F2337" s="6">
        <f>E2337*0.22</f>
        <v/>
      </c>
      <c r="G2337" s="6">
        <f>E2337+F2337</f>
        <v/>
      </c>
      <c r="H2337" s="10" t="n">
        <v>1</v>
      </c>
      <c r="I2337" s="7">
        <f>H2337/(180*0.714)</f>
        <v/>
      </c>
    </row>
    <row r="2338">
      <c r="A2338" s="4" t="inlineStr">
        <is>
          <t>SERV-12334</t>
        </is>
      </c>
      <c r="B2338" s="5" t="inlineStr">
        <is>
          <t>Cargos Comissionados (Assessores / Chefias)</t>
        </is>
      </c>
      <c r="C2338" s="4" t="inlineStr">
        <is>
          <t>Comissionado (DAS)</t>
        </is>
      </c>
      <c r="D2338" s="4" t="inlineStr">
        <is>
          <t>Diversas</t>
        </is>
      </c>
      <c r="E2338" s="6" t="n">
        <v>8236.77</v>
      </c>
      <c r="F2338" s="6">
        <f>E2338*0.22</f>
        <v/>
      </c>
      <c r="G2338" s="6">
        <f>E2338+F2338</f>
        <v/>
      </c>
      <c r="H2338" s="10" t="n">
        <v>3</v>
      </c>
      <c r="I2338" s="7">
        <f>H2338/(180*0.714)</f>
        <v/>
      </c>
    </row>
    <row r="2339">
      <c r="A2339" s="4" t="inlineStr">
        <is>
          <t>SERV-12335</t>
        </is>
      </c>
      <c r="B2339" s="5" t="inlineStr">
        <is>
          <t>Cargos Comissionados (Assessores / Chefias)</t>
        </is>
      </c>
      <c r="C2339" s="4" t="inlineStr">
        <is>
          <t>Comissionado (DAS)</t>
        </is>
      </c>
      <c r="D2339" s="4" t="inlineStr">
        <is>
          <t>Diversas</t>
        </is>
      </c>
      <c r="E2339" s="6" t="n">
        <v>7558.94</v>
      </c>
      <c r="F2339" s="6">
        <f>E2339*0.22</f>
        <v/>
      </c>
      <c r="G2339" s="6">
        <f>E2339+F2339</f>
        <v/>
      </c>
      <c r="H2339" s="10" t="n">
        <v>2</v>
      </c>
      <c r="I2339" s="7">
        <f>H2339/(180*0.714)</f>
        <v/>
      </c>
    </row>
    <row r="2340">
      <c r="A2340" s="4" t="inlineStr">
        <is>
          <t>SERV-12336</t>
        </is>
      </c>
      <c r="B2340" s="5" t="inlineStr">
        <is>
          <t>Cargos Comissionados (Assessores / Chefias)</t>
        </is>
      </c>
      <c r="C2340" s="4" t="inlineStr">
        <is>
          <t>Comissionado (DAS)</t>
        </is>
      </c>
      <c r="D2340" s="4" t="inlineStr">
        <is>
          <t>Diversas</t>
        </is>
      </c>
      <c r="E2340" s="6" t="n">
        <v>8357.540000000001</v>
      </c>
      <c r="F2340" s="6">
        <f>E2340*0.22</f>
        <v/>
      </c>
      <c r="G2340" s="6">
        <f>E2340+F2340</f>
        <v/>
      </c>
      <c r="H2340" s="10" t="n">
        <v>3</v>
      </c>
      <c r="I2340" s="7">
        <f>H2340/(180*0.714)</f>
        <v/>
      </c>
    </row>
    <row r="2341">
      <c r="A2341" s="4" t="inlineStr">
        <is>
          <t>SERV-12337</t>
        </is>
      </c>
      <c r="B2341" s="5" t="inlineStr">
        <is>
          <t>Cargos Comissionados (Assessores / Chefias)</t>
        </is>
      </c>
      <c r="C2341" s="4" t="inlineStr">
        <is>
          <t>Comissionado (DAS)</t>
        </is>
      </c>
      <c r="D2341" s="4" t="inlineStr">
        <is>
          <t>Diversas</t>
        </is>
      </c>
      <c r="E2341" s="6" t="n">
        <v>8261.91</v>
      </c>
      <c r="F2341" s="6">
        <f>E2341*0.22</f>
        <v/>
      </c>
      <c r="G2341" s="6">
        <f>E2341+F2341</f>
        <v/>
      </c>
      <c r="H2341" s="10" t="n">
        <v>2</v>
      </c>
      <c r="I2341" s="7">
        <f>H2341/(180*0.714)</f>
        <v/>
      </c>
    </row>
    <row r="2342">
      <c r="A2342" s="4" t="inlineStr">
        <is>
          <t>SERV-12338</t>
        </is>
      </c>
      <c r="B2342" s="5" t="inlineStr">
        <is>
          <t>Cargos Comissionados (Assessores / Chefias)</t>
        </is>
      </c>
      <c r="C2342" s="4" t="inlineStr">
        <is>
          <t>Comissionado (DAS)</t>
        </is>
      </c>
      <c r="D2342" s="4" t="inlineStr">
        <is>
          <t>Diversas</t>
        </is>
      </c>
      <c r="E2342" s="6" t="n">
        <v>7112.09</v>
      </c>
      <c r="F2342" s="6">
        <f>E2342*0.22</f>
        <v/>
      </c>
      <c r="G2342" s="6">
        <f>E2342+F2342</f>
        <v/>
      </c>
      <c r="H2342" s="10" t="n">
        <v>1</v>
      </c>
      <c r="I2342" s="7">
        <f>H2342/(180*0.714)</f>
        <v/>
      </c>
    </row>
    <row r="2343">
      <c r="A2343" s="4" t="inlineStr">
        <is>
          <t>SERV-12339</t>
        </is>
      </c>
      <c r="B2343" s="5" t="inlineStr">
        <is>
          <t>Cargos Comissionados (Assessores / Chefias)</t>
        </is>
      </c>
      <c r="C2343" s="4" t="inlineStr">
        <is>
          <t>Comissionado (DAS)</t>
        </is>
      </c>
      <c r="D2343" s="4" t="inlineStr">
        <is>
          <t>Diversas</t>
        </is>
      </c>
      <c r="E2343" s="6" t="n">
        <v>7943.26</v>
      </c>
      <c r="F2343" s="6">
        <f>E2343*0.22</f>
        <v/>
      </c>
      <c r="G2343" s="6">
        <f>E2343+F2343</f>
        <v/>
      </c>
      <c r="H2343" s="10" t="n">
        <v>1</v>
      </c>
      <c r="I2343" s="7">
        <f>H2343/(180*0.714)</f>
        <v/>
      </c>
    </row>
    <row r="2344">
      <c r="A2344" s="4" t="inlineStr">
        <is>
          <t>SERV-12340</t>
        </is>
      </c>
      <c r="B2344" s="5" t="inlineStr">
        <is>
          <t>Cargos Comissionados (Assessores / Chefias)</t>
        </is>
      </c>
      <c r="C2344" s="4" t="inlineStr">
        <is>
          <t>Comissionado (DAS)</t>
        </is>
      </c>
      <c r="D2344" s="4" t="inlineStr">
        <is>
          <t>Diversas</t>
        </is>
      </c>
      <c r="E2344" s="6" t="n">
        <v>7147.35</v>
      </c>
      <c r="F2344" s="6">
        <f>E2344*0.22</f>
        <v/>
      </c>
      <c r="G2344" s="6">
        <f>E2344+F2344</f>
        <v/>
      </c>
      <c r="H2344" s="10" t="n">
        <v>2</v>
      </c>
      <c r="I2344" s="7">
        <f>H2344/(180*0.714)</f>
        <v/>
      </c>
    </row>
    <row r="2345">
      <c r="A2345" s="4" t="inlineStr">
        <is>
          <t>SERV-12341</t>
        </is>
      </c>
      <c r="B2345" s="5" t="inlineStr">
        <is>
          <t>Cargos Comissionados (Assessores / Chefias)</t>
        </is>
      </c>
      <c r="C2345" s="4" t="inlineStr">
        <is>
          <t>Comissionado (DAS)</t>
        </is>
      </c>
      <c r="D2345" s="4" t="inlineStr">
        <is>
          <t>Diversas</t>
        </is>
      </c>
      <c r="E2345" s="6" t="n">
        <v>7478.56</v>
      </c>
      <c r="F2345" s="6">
        <f>E2345*0.22</f>
        <v/>
      </c>
      <c r="G2345" s="6">
        <f>E2345+F2345</f>
        <v/>
      </c>
      <c r="H2345" s="10" t="n">
        <v>0</v>
      </c>
      <c r="I2345" s="7">
        <f>H2345/(180*0.714)</f>
        <v/>
      </c>
    </row>
    <row r="2346">
      <c r="A2346" s="4" t="inlineStr">
        <is>
          <t>SERV-12342</t>
        </is>
      </c>
      <c r="B2346" s="5" t="inlineStr">
        <is>
          <t>Cargos Comissionados (Assessores / Chefias)</t>
        </is>
      </c>
      <c r="C2346" s="4" t="inlineStr">
        <is>
          <t>Comissionado (DAS)</t>
        </is>
      </c>
      <c r="D2346" s="4" t="inlineStr">
        <is>
          <t>Diversas</t>
        </is>
      </c>
      <c r="E2346" s="6" t="n">
        <v>7436.22</v>
      </c>
      <c r="F2346" s="6">
        <f>E2346*0.22</f>
        <v/>
      </c>
      <c r="G2346" s="6">
        <f>E2346+F2346</f>
        <v/>
      </c>
      <c r="H2346" s="10" t="n">
        <v>2</v>
      </c>
      <c r="I2346" s="7">
        <f>H2346/(180*0.714)</f>
        <v/>
      </c>
    </row>
    <row r="2347">
      <c r="A2347" s="4" t="inlineStr">
        <is>
          <t>SERV-12343</t>
        </is>
      </c>
      <c r="B2347" s="5" t="inlineStr">
        <is>
          <t>Cargos Comissionados (Assessores / Chefias)</t>
        </is>
      </c>
      <c r="C2347" s="4" t="inlineStr">
        <is>
          <t>Comissionado (DAS)</t>
        </is>
      </c>
      <c r="D2347" s="4" t="inlineStr">
        <is>
          <t>Diversas</t>
        </is>
      </c>
      <c r="E2347" s="6" t="n">
        <v>7664.77</v>
      </c>
      <c r="F2347" s="6">
        <f>E2347*0.22</f>
        <v/>
      </c>
      <c r="G2347" s="6">
        <f>E2347+F2347</f>
        <v/>
      </c>
      <c r="H2347" s="10" t="n">
        <v>0</v>
      </c>
      <c r="I2347" s="7">
        <f>H2347/(180*0.714)</f>
        <v/>
      </c>
    </row>
    <row r="2348">
      <c r="A2348" s="4" t="inlineStr">
        <is>
          <t>SERV-12344</t>
        </is>
      </c>
      <c r="B2348" s="5" t="inlineStr">
        <is>
          <t>Cargos Comissionados (Assessores / Chefias)</t>
        </is>
      </c>
      <c r="C2348" s="4" t="inlineStr">
        <is>
          <t>Comissionado (DAS)</t>
        </is>
      </c>
      <c r="D2348" s="4" t="inlineStr">
        <is>
          <t>Diversas</t>
        </is>
      </c>
      <c r="E2348" s="6" t="n">
        <v>8355.51</v>
      </c>
      <c r="F2348" s="6">
        <f>E2348*0.22</f>
        <v/>
      </c>
      <c r="G2348" s="6">
        <f>E2348+F2348</f>
        <v/>
      </c>
      <c r="H2348" s="10" t="n">
        <v>1</v>
      </c>
      <c r="I2348" s="7">
        <f>H2348/(180*0.714)</f>
        <v/>
      </c>
    </row>
    <row r="2349">
      <c r="A2349" s="4" t="inlineStr">
        <is>
          <t>SERV-12345</t>
        </is>
      </c>
      <c r="B2349" s="5" t="inlineStr">
        <is>
          <t>Cargos Comissionados (Assessores / Chefias)</t>
        </is>
      </c>
      <c r="C2349" s="4" t="inlineStr">
        <is>
          <t>Comissionado (DAS)</t>
        </is>
      </c>
      <c r="D2349" s="4" t="inlineStr">
        <is>
          <t>Diversas</t>
        </is>
      </c>
      <c r="E2349" s="6" t="n">
        <v>7272.81</v>
      </c>
      <c r="F2349" s="6">
        <f>E2349*0.22</f>
        <v/>
      </c>
      <c r="G2349" s="6">
        <f>E2349+F2349</f>
        <v/>
      </c>
      <c r="H2349" s="10" t="n">
        <v>2</v>
      </c>
      <c r="I2349" s="7">
        <f>H2349/(180*0.714)</f>
        <v/>
      </c>
    </row>
    <row r="2350">
      <c r="A2350" s="4" t="inlineStr">
        <is>
          <t>SERV-12346</t>
        </is>
      </c>
      <c r="B2350" s="5" t="inlineStr">
        <is>
          <t>Cargos Comissionados (Assessores / Chefias)</t>
        </is>
      </c>
      <c r="C2350" s="4" t="inlineStr">
        <is>
          <t>Comissionado (DAS)</t>
        </is>
      </c>
      <c r="D2350" s="4" t="inlineStr">
        <is>
          <t>Diversas</t>
        </is>
      </c>
      <c r="E2350" s="6" t="n">
        <v>8235.68</v>
      </c>
      <c r="F2350" s="6">
        <f>E2350*0.22</f>
        <v/>
      </c>
      <c r="G2350" s="6">
        <f>E2350+F2350</f>
        <v/>
      </c>
      <c r="H2350" s="10" t="n">
        <v>1</v>
      </c>
      <c r="I2350" s="7">
        <f>H2350/(180*0.714)</f>
        <v/>
      </c>
    </row>
    <row r="2351">
      <c r="A2351" s="4" t="inlineStr">
        <is>
          <t>SERV-12347</t>
        </is>
      </c>
      <c r="B2351" s="5" t="inlineStr">
        <is>
          <t>Cargos Comissionados (Assessores / Chefias)</t>
        </is>
      </c>
      <c r="C2351" s="4" t="inlineStr">
        <is>
          <t>Comissionado (DAS)</t>
        </is>
      </c>
      <c r="D2351" s="4" t="inlineStr">
        <is>
          <t>Diversas</t>
        </is>
      </c>
      <c r="E2351" s="6" t="n">
        <v>7119.47</v>
      </c>
      <c r="F2351" s="6">
        <f>E2351*0.22</f>
        <v/>
      </c>
      <c r="G2351" s="6">
        <f>E2351+F2351</f>
        <v/>
      </c>
      <c r="H2351" s="10" t="n">
        <v>2</v>
      </c>
      <c r="I2351" s="7">
        <f>H2351/(180*0.714)</f>
        <v/>
      </c>
    </row>
    <row r="2352">
      <c r="A2352" s="4" t="inlineStr">
        <is>
          <t>SERV-12348</t>
        </is>
      </c>
      <c r="B2352" s="5" t="inlineStr">
        <is>
          <t>Cargos Comissionados (Assessores / Chefias)</t>
        </is>
      </c>
      <c r="C2352" s="4" t="inlineStr">
        <is>
          <t>Comissionado (DAS)</t>
        </is>
      </c>
      <c r="D2352" s="4" t="inlineStr">
        <is>
          <t>Diversas</t>
        </is>
      </c>
      <c r="E2352" s="6" t="n">
        <v>8399.780000000001</v>
      </c>
      <c r="F2352" s="6">
        <f>E2352*0.22</f>
        <v/>
      </c>
      <c r="G2352" s="6">
        <f>E2352+F2352</f>
        <v/>
      </c>
      <c r="H2352" s="10" t="n">
        <v>1</v>
      </c>
      <c r="I2352" s="7">
        <f>H2352/(180*0.714)</f>
        <v/>
      </c>
    </row>
    <row r="2353">
      <c r="A2353" s="4" t="inlineStr">
        <is>
          <t>SERV-12349</t>
        </is>
      </c>
      <c r="B2353" s="5" t="inlineStr">
        <is>
          <t>Cargos Comissionados (Assessores / Chefias)</t>
        </is>
      </c>
      <c r="C2353" s="4" t="inlineStr">
        <is>
          <t>Comissionado (DAS)</t>
        </is>
      </c>
      <c r="D2353" s="4" t="inlineStr">
        <is>
          <t>Diversas</t>
        </is>
      </c>
      <c r="E2353" s="6" t="n">
        <v>7357.8</v>
      </c>
      <c r="F2353" s="6">
        <f>E2353*0.22</f>
        <v/>
      </c>
      <c r="G2353" s="6">
        <f>E2353+F2353</f>
        <v/>
      </c>
      <c r="H2353" s="10" t="n">
        <v>3</v>
      </c>
      <c r="I2353" s="7">
        <f>H2353/(180*0.714)</f>
        <v/>
      </c>
    </row>
    <row r="2354">
      <c r="A2354" s="4" t="inlineStr">
        <is>
          <t>SERV-12350</t>
        </is>
      </c>
      <c r="B2354" s="5" t="inlineStr">
        <is>
          <t>Cargos Comissionados (Assessores / Chefias)</t>
        </is>
      </c>
      <c r="C2354" s="4" t="inlineStr">
        <is>
          <t>Comissionado (DAS)</t>
        </is>
      </c>
      <c r="D2354" s="4" t="inlineStr">
        <is>
          <t>Diversas</t>
        </is>
      </c>
      <c r="E2354" s="6" t="n">
        <v>7556.88</v>
      </c>
      <c r="F2354" s="6">
        <f>E2354*0.22</f>
        <v/>
      </c>
      <c r="G2354" s="6">
        <f>E2354+F2354</f>
        <v/>
      </c>
      <c r="H2354" s="10" t="n">
        <v>1</v>
      </c>
      <c r="I2354" s="7">
        <f>H2354/(180*0.714)</f>
        <v/>
      </c>
    </row>
    <row r="2355">
      <c r="A2355" s="4" t="inlineStr">
        <is>
          <t>SERV-12351</t>
        </is>
      </c>
      <c r="B2355" s="5" t="inlineStr">
        <is>
          <t>Cargos Comissionados (Assessores / Chefias)</t>
        </is>
      </c>
      <c r="C2355" s="4" t="inlineStr">
        <is>
          <t>Comissionado (DAS)</t>
        </is>
      </c>
      <c r="D2355" s="4" t="inlineStr">
        <is>
          <t>Diversas</t>
        </is>
      </c>
      <c r="E2355" s="6" t="n">
        <v>7820.47</v>
      </c>
      <c r="F2355" s="6">
        <f>E2355*0.22</f>
        <v/>
      </c>
      <c r="G2355" s="6">
        <f>E2355+F2355</f>
        <v/>
      </c>
      <c r="H2355" s="10" t="n">
        <v>2</v>
      </c>
      <c r="I2355" s="7">
        <f>H2355/(180*0.714)</f>
        <v/>
      </c>
    </row>
    <row r="2356">
      <c r="A2356" s="4" t="inlineStr">
        <is>
          <t>SERV-12352</t>
        </is>
      </c>
      <c r="B2356" s="5" t="inlineStr">
        <is>
          <t>Cargos Comissionados (Assessores / Chefias)</t>
        </is>
      </c>
      <c r="C2356" s="4" t="inlineStr">
        <is>
          <t>Comissionado (DAS)</t>
        </is>
      </c>
      <c r="D2356" s="4" t="inlineStr">
        <is>
          <t>Diversas</t>
        </is>
      </c>
      <c r="E2356" s="6" t="n">
        <v>7101.11</v>
      </c>
      <c r="F2356" s="6">
        <f>E2356*0.22</f>
        <v/>
      </c>
      <c r="G2356" s="6">
        <f>E2356+F2356</f>
        <v/>
      </c>
      <c r="H2356" s="10" t="n">
        <v>1</v>
      </c>
      <c r="I2356" s="7">
        <f>H2356/(180*0.714)</f>
        <v/>
      </c>
    </row>
    <row r="2357">
      <c r="A2357" s="4" t="inlineStr">
        <is>
          <t>SERV-12353</t>
        </is>
      </c>
      <c r="B2357" s="5" t="inlineStr">
        <is>
          <t>Cargos Comissionados (Assessores / Chefias)</t>
        </is>
      </c>
      <c r="C2357" s="4" t="inlineStr">
        <is>
          <t>Comissionado (DAS)</t>
        </is>
      </c>
      <c r="D2357" s="4" t="inlineStr">
        <is>
          <t>Diversas</t>
        </is>
      </c>
      <c r="E2357" s="6" t="n">
        <v>7486.49</v>
      </c>
      <c r="F2357" s="6">
        <f>E2357*0.22</f>
        <v/>
      </c>
      <c r="G2357" s="6">
        <f>E2357+F2357</f>
        <v/>
      </c>
      <c r="H2357" s="10" t="n">
        <v>2</v>
      </c>
      <c r="I2357" s="7">
        <f>H2357/(180*0.714)</f>
        <v/>
      </c>
    </row>
    <row r="2358">
      <c r="A2358" s="4" t="inlineStr">
        <is>
          <t>SERV-12354</t>
        </is>
      </c>
      <c r="B2358" s="5" t="inlineStr">
        <is>
          <t>Cargos Comissionados (Assessores / Chefias)</t>
        </is>
      </c>
      <c r="C2358" s="4" t="inlineStr">
        <is>
          <t>Comissionado (DAS)</t>
        </is>
      </c>
      <c r="D2358" s="4" t="inlineStr">
        <is>
          <t>Diversas</t>
        </is>
      </c>
      <c r="E2358" s="6" t="n">
        <v>7763.19</v>
      </c>
      <c r="F2358" s="6">
        <f>E2358*0.22</f>
        <v/>
      </c>
      <c r="G2358" s="6">
        <f>E2358+F2358</f>
        <v/>
      </c>
      <c r="H2358" s="10" t="n">
        <v>1</v>
      </c>
      <c r="I2358" s="7">
        <f>H2358/(180*0.714)</f>
        <v/>
      </c>
    </row>
    <row r="2359">
      <c r="A2359" s="4" t="inlineStr">
        <is>
          <t>SERV-12355</t>
        </is>
      </c>
      <c r="B2359" s="5" t="inlineStr">
        <is>
          <t>Cargos Comissionados (Assessores / Chefias)</t>
        </is>
      </c>
      <c r="C2359" s="4" t="inlineStr">
        <is>
          <t>Comissionado (DAS)</t>
        </is>
      </c>
      <c r="D2359" s="4" t="inlineStr">
        <is>
          <t>Diversas</t>
        </is>
      </c>
      <c r="E2359" s="6" t="n">
        <v>8361.25</v>
      </c>
      <c r="F2359" s="6">
        <f>E2359*0.22</f>
        <v/>
      </c>
      <c r="G2359" s="6">
        <f>E2359+F2359</f>
        <v/>
      </c>
      <c r="H2359" s="10" t="n">
        <v>1</v>
      </c>
      <c r="I2359" s="7">
        <f>H2359/(180*0.714)</f>
        <v/>
      </c>
    </row>
    <row r="2360">
      <c r="A2360" s="4" t="inlineStr">
        <is>
          <t>SERV-12356</t>
        </is>
      </c>
      <c r="B2360" s="5" t="inlineStr">
        <is>
          <t>Cargos Comissionados (Assessores / Chefias)</t>
        </is>
      </c>
      <c r="C2360" s="4" t="inlineStr">
        <is>
          <t>Comissionado (DAS)</t>
        </is>
      </c>
      <c r="D2360" s="4" t="inlineStr">
        <is>
          <t>Diversas</t>
        </is>
      </c>
      <c r="E2360" s="6" t="n">
        <v>7193.81</v>
      </c>
      <c r="F2360" s="6">
        <f>E2360*0.22</f>
        <v/>
      </c>
      <c r="G2360" s="6">
        <f>E2360+F2360</f>
        <v/>
      </c>
      <c r="H2360" s="10" t="n">
        <v>0</v>
      </c>
      <c r="I2360" s="7">
        <f>H2360/(180*0.714)</f>
        <v/>
      </c>
    </row>
    <row r="2361">
      <c r="A2361" s="4" t="inlineStr">
        <is>
          <t>SERV-12357</t>
        </is>
      </c>
      <c r="B2361" s="5" t="inlineStr">
        <is>
          <t>Cargos Comissionados (Assessores / Chefias)</t>
        </is>
      </c>
      <c r="C2361" s="4" t="inlineStr">
        <is>
          <t>Comissionado (DAS)</t>
        </is>
      </c>
      <c r="D2361" s="4" t="inlineStr">
        <is>
          <t>Diversas</t>
        </is>
      </c>
      <c r="E2361" s="6" t="n">
        <v>7065.32</v>
      </c>
      <c r="F2361" s="6">
        <f>E2361*0.22</f>
        <v/>
      </c>
      <c r="G2361" s="6">
        <f>E2361+F2361</f>
        <v/>
      </c>
      <c r="H2361" s="10" t="n">
        <v>2</v>
      </c>
      <c r="I2361" s="7">
        <f>H2361/(180*0.714)</f>
        <v/>
      </c>
    </row>
    <row r="2362">
      <c r="A2362" s="4" t="inlineStr">
        <is>
          <t>SERV-12358</t>
        </is>
      </c>
      <c r="B2362" s="5" t="inlineStr">
        <is>
          <t>Cargos Comissionados (Assessores / Chefias)</t>
        </is>
      </c>
      <c r="C2362" s="4" t="inlineStr">
        <is>
          <t>Comissionado (DAS)</t>
        </is>
      </c>
      <c r="D2362" s="4" t="inlineStr">
        <is>
          <t>Diversas</t>
        </is>
      </c>
      <c r="E2362" s="6" t="n">
        <v>7926.65</v>
      </c>
      <c r="F2362" s="6">
        <f>E2362*0.22</f>
        <v/>
      </c>
      <c r="G2362" s="6">
        <f>E2362+F2362</f>
        <v/>
      </c>
      <c r="H2362" s="10" t="n">
        <v>1</v>
      </c>
      <c r="I2362" s="7">
        <f>H2362/(180*0.714)</f>
        <v/>
      </c>
    </row>
    <row r="2363">
      <c r="A2363" s="4" t="inlineStr">
        <is>
          <t>SERV-12359</t>
        </is>
      </c>
      <c r="B2363" s="5" t="inlineStr">
        <is>
          <t>Cargos Comissionados (Assessores / Chefias)</t>
        </is>
      </c>
      <c r="C2363" s="4" t="inlineStr">
        <is>
          <t>Comissionado (DAS)</t>
        </is>
      </c>
      <c r="D2363" s="4" t="inlineStr">
        <is>
          <t>Diversas</t>
        </is>
      </c>
      <c r="E2363" s="6" t="n">
        <v>7679.93</v>
      </c>
      <c r="F2363" s="6">
        <f>E2363*0.22</f>
        <v/>
      </c>
      <c r="G2363" s="6">
        <f>E2363+F2363</f>
        <v/>
      </c>
      <c r="H2363" s="10" t="n">
        <v>0</v>
      </c>
      <c r="I2363" s="7">
        <f>H2363/(180*0.714)</f>
        <v/>
      </c>
    </row>
    <row r="2364">
      <c r="A2364" s="4" t="inlineStr">
        <is>
          <t>SERV-12360</t>
        </is>
      </c>
      <c r="B2364" s="5" t="inlineStr">
        <is>
          <t>Cargos Comissionados (Assessores / Chefias)</t>
        </is>
      </c>
      <c r="C2364" s="4" t="inlineStr">
        <is>
          <t>Comissionado (DAS)</t>
        </is>
      </c>
      <c r="D2364" s="4" t="inlineStr">
        <is>
          <t>Diversas</t>
        </is>
      </c>
      <c r="E2364" s="6" t="n">
        <v>7824.7</v>
      </c>
      <c r="F2364" s="6">
        <f>E2364*0.22</f>
        <v/>
      </c>
      <c r="G2364" s="6">
        <f>E2364+F2364</f>
        <v/>
      </c>
      <c r="H2364" s="10" t="n">
        <v>3</v>
      </c>
      <c r="I2364" s="7">
        <f>H2364/(180*0.714)</f>
        <v/>
      </c>
    </row>
    <row r="2365">
      <c r="A2365" s="4" t="inlineStr">
        <is>
          <t>SERV-12361</t>
        </is>
      </c>
      <c r="B2365" s="5" t="inlineStr">
        <is>
          <t>Cargos Comissionados (Assessores / Chefias)</t>
        </is>
      </c>
      <c r="C2365" s="4" t="inlineStr">
        <is>
          <t>Comissionado (DAS)</t>
        </is>
      </c>
      <c r="D2365" s="4" t="inlineStr">
        <is>
          <t>Diversas</t>
        </is>
      </c>
      <c r="E2365" s="6" t="n">
        <v>7243.17</v>
      </c>
      <c r="F2365" s="6">
        <f>E2365*0.22</f>
        <v/>
      </c>
      <c r="G2365" s="6">
        <f>E2365+F2365</f>
        <v/>
      </c>
      <c r="H2365" s="10" t="n">
        <v>1</v>
      </c>
      <c r="I2365" s="7">
        <f>H2365/(180*0.714)</f>
        <v/>
      </c>
    </row>
    <row r="2366">
      <c r="A2366" s="4" t="inlineStr">
        <is>
          <t>SERV-12362</t>
        </is>
      </c>
      <c r="B2366" s="5" t="inlineStr">
        <is>
          <t>Cargos Comissionados (Assessores / Chefias)</t>
        </is>
      </c>
      <c r="C2366" s="4" t="inlineStr">
        <is>
          <t>Comissionado (DAS)</t>
        </is>
      </c>
      <c r="D2366" s="4" t="inlineStr">
        <is>
          <t>Diversas</t>
        </is>
      </c>
      <c r="E2366" s="6" t="n">
        <v>7931</v>
      </c>
      <c r="F2366" s="6">
        <f>E2366*0.22</f>
        <v/>
      </c>
      <c r="G2366" s="6">
        <f>E2366+F2366</f>
        <v/>
      </c>
      <c r="H2366" s="10" t="n">
        <v>2</v>
      </c>
      <c r="I2366" s="7">
        <f>H2366/(180*0.714)</f>
        <v/>
      </c>
    </row>
    <row r="2367">
      <c r="A2367" s="4" t="inlineStr">
        <is>
          <t>SERV-12363</t>
        </is>
      </c>
      <c r="B2367" s="5" t="inlineStr">
        <is>
          <t>Cargos Comissionados (Assessores / Chefias)</t>
        </is>
      </c>
      <c r="C2367" s="4" t="inlineStr">
        <is>
          <t>Comissionado (DAS)</t>
        </is>
      </c>
      <c r="D2367" s="4" t="inlineStr">
        <is>
          <t>Diversas</t>
        </is>
      </c>
      <c r="E2367" s="6" t="n">
        <v>7263.21</v>
      </c>
      <c r="F2367" s="6">
        <f>E2367*0.22</f>
        <v/>
      </c>
      <c r="G2367" s="6">
        <f>E2367+F2367</f>
        <v/>
      </c>
      <c r="H2367" s="10" t="n">
        <v>1</v>
      </c>
      <c r="I2367" s="7">
        <f>H2367/(180*0.714)</f>
        <v/>
      </c>
    </row>
    <row r="2368">
      <c r="A2368" s="4" t="inlineStr">
        <is>
          <t>SERV-12364</t>
        </is>
      </c>
      <c r="B2368" s="5" t="inlineStr">
        <is>
          <t>Cargos Comissionados (Assessores / Chefias)</t>
        </is>
      </c>
      <c r="C2368" s="4" t="inlineStr">
        <is>
          <t>Comissionado (DAS)</t>
        </is>
      </c>
      <c r="D2368" s="4" t="inlineStr">
        <is>
          <t>Diversas</t>
        </is>
      </c>
      <c r="E2368" s="6" t="n">
        <v>7894.37</v>
      </c>
      <c r="F2368" s="6">
        <f>E2368*0.22</f>
        <v/>
      </c>
      <c r="G2368" s="6">
        <f>E2368+F2368</f>
        <v/>
      </c>
      <c r="H2368" s="10" t="n">
        <v>0</v>
      </c>
      <c r="I2368" s="7">
        <f>H2368/(180*0.714)</f>
        <v/>
      </c>
    </row>
    <row r="2369">
      <c r="A2369" s="4" t="inlineStr">
        <is>
          <t>SERV-12365</t>
        </is>
      </c>
      <c r="B2369" s="5" t="inlineStr">
        <is>
          <t>Cargos Comissionados (Assessores / Chefias)</t>
        </is>
      </c>
      <c r="C2369" s="4" t="inlineStr">
        <is>
          <t>Comissionado (DAS)</t>
        </is>
      </c>
      <c r="D2369" s="4" t="inlineStr">
        <is>
          <t>Diversas</t>
        </is>
      </c>
      <c r="E2369" s="6" t="n">
        <v>7525.6</v>
      </c>
      <c r="F2369" s="6">
        <f>E2369*0.22</f>
        <v/>
      </c>
      <c r="G2369" s="6">
        <f>E2369+F2369</f>
        <v/>
      </c>
      <c r="H2369" s="10" t="n">
        <v>0</v>
      </c>
      <c r="I2369" s="7">
        <f>H2369/(180*0.714)</f>
        <v/>
      </c>
    </row>
    <row r="2370">
      <c r="A2370" s="4" t="inlineStr">
        <is>
          <t>SERV-12366</t>
        </is>
      </c>
      <c r="B2370" s="5" t="inlineStr">
        <is>
          <t>Cargos Comissionados (Assessores / Chefias)</t>
        </is>
      </c>
      <c r="C2370" s="4" t="inlineStr">
        <is>
          <t>Comissionado (DAS)</t>
        </is>
      </c>
      <c r="D2370" s="4" t="inlineStr">
        <is>
          <t>Diversas</t>
        </is>
      </c>
      <c r="E2370" s="6" t="n">
        <v>7802.58</v>
      </c>
      <c r="F2370" s="6">
        <f>E2370*0.22</f>
        <v/>
      </c>
      <c r="G2370" s="6">
        <f>E2370+F2370</f>
        <v/>
      </c>
      <c r="H2370" s="10" t="n">
        <v>0</v>
      </c>
      <c r="I2370" s="7">
        <f>H2370/(180*0.714)</f>
        <v/>
      </c>
    </row>
    <row r="2371">
      <c r="A2371" s="4" t="inlineStr">
        <is>
          <t>SERV-12367</t>
        </is>
      </c>
      <c r="B2371" s="5" t="inlineStr">
        <is>
          <t>Cargos Comissionados (Assessores / Chefias)</t>
        </is>
      </c>
      <c r="C2371" s="4" t="inlineStr">
        <is>
          <t>Comissionado (DAS)</t>
        </is>
      </c>
      <c r="D2371" s="4" t="inlineStr">
        <is>
          <t>Diversas</t>
        </is>
      </c>
      <c r="E2371" s="6" t="n">
        <v>7143.67</v>
      </c>
      <c r="F2371" s="6">
        <f>E2371*0.22</f>
        <v/>
      </c>
      <c r="G2371" s="6">
        <f>E2371+F2371</f>
        <v/>
      </c>
      <c r="H2371" s="10" t="n">
        <v>0</v>
      </c>
      <c r="I2371" s="7">
        <f>H2371/(180*0.714)</f>
        <v/>
      </c>
    </row>
    <row r="2372">
      <c r="A2372" s="4" t="inlineStr">
        <is>
          <t>SERV-12368</t>
        </is>
      </c>
      <c r="B2372" s="5" t="inlineStr">
        <is>
          <t>Cargos Comissionados (Assessores / Chefias)</t>
        </is>
      </c>
      <c r="C2372" s="4" t="inlineStr">
        <is>
          <t>Comissionado (DAS)</t>
        </is>
      </c>
      <c r="D2372" s="4" t="inlineStr">
        <is>
          <t>Diversas</t>
        </is>
      </c>
      <c r="E2372" s="6" t="n">
        <v>7895.14</v>
      </c>
      <c r="F2372" s="6">
        <f>E2372*0.22</f>
        <v/>
      </c>
      <c r="G2372" s="6">
        <f>E2372+F2372</f>
        <v/>
      </c>
      <c r="H2372" s="10" t="n">
        <v>1</v>
      </c>
      <c r="I2372" s="7">
        <f>H2372/(180*0.714)</f>
        <v/>
      </c>
    </row>
    <row r="2373">
      <c r="A2373" s="4" t="inlineStr">
        <is>
          <t>SERV-12369</t>
        </is>
      </c>
      <c r="B2373" s="5" t="inlineStr">
        <is>
          <t>Cargos Comissionados (Assessores / Chefias)</t>
        </is>
      </c>
      <c r="C2373" s="4" t="inlineStr">
        <is>
          <t>Comissionado (DAS)</t>
        </is>
      </c>
      <c r="D2373" s="4" t="inlineStr">
        <is>
          <t>Diversas</t>
        </is>
      </c>
      <c r="E2373" s="6" t="n">
        <v>7258.13</v>
      </c>
      <c r="F2373" s="6">
        <f>E2373*0.22</f>
        <v/>
      </c>
      <c r="G2373" s="6">
        <f>E2373+F2373</f>
        <v/>
      </c>
      <c r="H2373" s="10" t="n">
        <v>0</v>
      </c>
      <c r="I2373" s="7">
        <f>H2373/(180*0.714)</f>
        <v/>
      </c>
    </row>
    <row r="2374">
      <c r="A2374" s="4" t="inlineStr">
        <is>
          <t>SERV-12370</t>
        </is>
      </c>
      <c r="B2374" s="5" t="inlineStr">
        <is>
          <t>Cargos Comissionados (Assessores / Chefias)</t>
        </is>
      </c>
      <c r="C2374" s="4" t="inlineStr">
        <is>
          <t>Comissionado (DAS)</t>
        </is>
      </c>
      <c r="D2374" s="4" t="inlineStr">
        <is>
          <t>Diversas</t>
        </is>
      </c>
      <c r="E2374" s="6" t="n">
        <v>7009.24</v>
      </c>
      <c r="F2374" s="6">
        <f>E2374*0.22</f>
        <v/>
      </c>
      <c r="G2374" s="6">
        <f>E2374+F2374</f>
        <v/>
      </c>
      <c r="H2374" s="10" t="n">
        <v>3</v>
      </c>
      <c r="I2374" s="7">
        <f>H2374/(180*0.714)</f>
        <v/>
      </c>
    </row>
    <row r="2375">
      <c r="A2375" s="4" t="inlineStr">
        <is>
          <t>SERV-12371</t>
        </is>
      </c>
      <c r="B2375" s="5" t="inlineStr">
        <is>
          <t>Cargos Comissionados (Assessores / Chefias)</t>
        </is>
      </c>
      <c r="C2375" s="4" t="inlineStr">
        <is>
          <t>Comissionado (DAS)</t>
        </is>
      </c>
      <c r="D2375" s="4" t="inlineStr">
        <is>
          <t>Diversas</t>
        </is>
      </c>
      <c r="E2375" s="6" t="n">
        <v>6935.09</v>
      </c>
      <c r="F2375" s="6">
        <f>E2375*0.22</f>
        <v/>
      </c>
      <c r="G2375" s="6">
        <f>E2375+F2375</f>
        <v/>
      </c>
      <c r="H2375" s="10" t="n">
        <v>3</v>
      </c>
      <c r="I2375" s="7">
        <f>H2375/(180*0.714)</f>
        <v/>
      </c>
    </row>
    <row r="2376">
      <c r="A2376" s="4" t="inlineStr">
        <is>
          <t>SERV-12372</t>
        </is>
      </c>
      <c r="B2376" s="5" t="inlineStr">
        <is>
          <t>Cargos Comissionados (Assessores / Chefias)</t>
        </is>
      </c>
      <c r="C2376" s="4" t="inlineStr">
        <is>
          <t>Comissionado (DAS)</t>
        </is>
      </c>
      <c r="D2376" s="4" t="inlineStr">
        <is>
          <t>Diversas</t>
        </is>
      </c>
      <c r="E2376" s="6" t="n">
        <v>7272.51</v>
      </c>
      <c r="F2376" s="6">
        <f>E2376*0.22</f>
        <v/>
      </c>
      <c r="G2376" s="6">
        <f>E2376+F2376</f>
        <v/>
      </c>
      <c r="H2376" s="10" t="n">
        <v>1</v>
      </c>
      <c r="I2376" s="7">
        <f>H2376/(180*0.714)</f>
        <v/>
      </c>
    </row>
    <row r="2377">
      <c r="A2377" s="4" t="inlineStr">
        <is>
          <t>SERV-12373</t>
        </is>
      </c>
      <c r="B2377" s="5" t="inlineStr">
        <is>
          <t>Cargos Comissionados (Assessores / Chefias)</t>
        </is>
      </c>
      <c r="C2377" s="4" t="inlineStr">
        <is>
          <t>Comissionado (DAS)</t>
        </is>
      </c>
      <c r="D2377" s="4" t="inlineStr">
        <is>
          <t>Diversas</t>
        </is>
      </c>
      <c r="E2377" s="6" t="n">
        <v>7984.18</v>
      </c>
      <c r="F2377" s="6">
        <f>E2377*0.22</f>
        <v/>
      </c>
      <c r="G2377" s="6">
        <f>E2377+F2377</f>
        <v/>
      </c>
      <c r="H2377" s="10" t="n">
        <v>2</v>
      </c>
      <c r="I2377" s="7">
        <f>H2377/(180*0.714)</f>
        <v/>
      </c>
    </row>
    <row r="2378">
      <c r="A2378" s="4" t="inlineStr">
        <is>
          <t>SERV-12374</t>
        </is>
      </c>
      <c r="B2378" s="5" t="inlineStr">
        <is>
          <t>Cargos Comissionados (Assessores / Chefias)</t>
        </is>
      </c>
      <c r="C2378" s="4" t="inlineStr">
        <is>
          <t>Comissionado (DAS)</t>
        </is>
      </c>
      <c r="D2378" s="4" t="inlineStr">
        <is>
          <t>Diversas</t>
        </is>
      </c>
      <c r="E2378" s="6" t="n">
        <v>8139.91</v>
      </c>
      <c r="F2378" s="6">
        <f>E2378*0.22</f>
        <v/>
      </c>
      <c r="G2378" s="6">
        <f>E2378+F2378</f>
        <v/>
      </c>
      <c r="H2378" s="10" t="n">
        <v>3</v>
      </c>
      <c r="I2378" s="7">
        <f>H2378/(180*0.714)</f>
        <v/>
      </c>
    </row>
    <row r="2379">
      <c r="A2379" s="4" t="inlineStr">
        <is>
          <t>SERV-12375</t>
        </is>
      </c>
      <c r="B2379" s="5" t="inlineStr">
        <is>
          <t>Cargos Comissionados (Assessores / Chefias)</t>
        </is>
      </c>
      <c r="C2379" s="4" t="inlineStr">
        <is>
          <t>Comissionado (DAS)</t>
        </is>
      </c>
      <c r="D2379" s="4" t="inlineStr">
        <is>
          <t>Diversas</t>
        </is>
      </c>
      <c r="E2379" s="6" t="n">
        <v>7880.97</v>
      </c>
      <c r="F2379" s="6">
        <f>E2379*0.22</f>
        <v/>
      </c>
      <c r="G2379" s="6">
        <f>E2379+F2379</f>
        <v/>
      </c>
      <c r="H2379" s="10" t="n">
        <v>2</v>
      </c>
      <c r="I2379" s="7">
        <f>H2379/(180*0.714)</f>
        <v/>
      </c>
    </row>
    <row r="2380">
      <c r="A2380" s="4" t="inlineStr">
        <is>
          <t>SERV-12376</t>
        </is>
      </c>
      <c r="B2380" s="5" t="inlineStr">
        <is>
          <t>Cargos Comissionados (Assessores / Chefias)</t>
        </is>
      </c>
      <c r="C2380" s="4" t="inlineStr">
        <is>
          <t>Comissionado (DAS)</t>
        </is>
      </c>
      <c r="D2380" s="4" t="inlineStr">
        <is>
          <t>Diversas</t>
        </is>
      </c>
      <c r="E2380" s="6" t="n">
        <v>7735.35</v>
      </c>
      <c r="F2380" s="6">
        <f>E2380*0.22</f>
        <v/>
      </c>
      <c r="G2380" s="6">
        <f>E2380+F2380</f>
        <v/>
      </c>
      <c r="H2380" s="10" t="n">
        <v>2</v>
      </c>
      <c r="I2380" s="7">
        <f>H2380/(180*0.714)</f>
        <v/>
      </c>
    </row>
    <row r="2381">
      <c r="A2381" s="4" t="inlineStr">
        <is>
          <t>SERV-12377</t>
        </is>
      </c>
      <c r="B2381" s="5" t="inlineStr">
        <is>
          <t>Cargos Comissionados (Assessores / Chefias)</t>
        </is>
      </c>
      <c r="C2381" s="4" t="inlineStr">
        <is>
          <t>Comissionado (DAS)</t>
        </is>
      </c>
      <c r="D2381" s="4" t="inlineStr">
        <is>
          <t>Diversas</t>
        </is>
      </c>
      <c r="E2381" s="6" t="n">
        <v>8107.85</v>
      </c>
      <c r="F2381" s="6">
        <f>E2381*0.22</f>
        <v/>
      </c>
      <c r="G2381" s="6">
        <f>E2381+F2381</f>
        <v/>
      </c>
      <c r="H2381" s="10" t="n">
        <v>1</v>
      </c>
      <c r="I2381" s="7">
        <f>H2381/(180*0.714)</f>
        <v/>
      </c>
    </row>
    <row r="2382">
      <c r="A2382" s="4" t="inlineStr">
        <is>
          <t>SERV-12378</t>
        </is>
      </c>
      <c r="B2382" s="5" t="inlineStr">
        <is>
          <t>Cargos Comissionados (Assessores / Chefias)</t>
        </is>
      </c>
      <c r="C2382" s="4" t="inlineStr">
        <is>
          <t>Comissionado (DAS)</t>
        </is>
      </c>
      <c r="D2382" s="4" t="inlineStr">
        <is>
          <t>Diversas</t>
        </is>
      </c>
      <c r="E2382" s="6" t="n">
        <v>8103.2</v>
      </c>
      <c r="F2382" s="6">
        <f>E2382*0.22</f>
        <v/>
      </c>
      <c r="G2382" s="6">
        <f>E2382+F2382</f>
        <v/>
      </c>
      <c r="H2382" s="10" t="n">
        <v>1</v>
      </c>
      <c r="I2382" s="7">
        <f>H2382/(180*0.714)</f>
        <v/>
      </c>
    </row>
    <row r="2383">
      <c r="A2383" s="4" t="inlineStr">
        <is>
          <t>SERV-12379</t>
        </is>
      </c>
      <c r="B2383" s="5" t="inlineStr">
        <is>
          <t>Cargos Comissionados (Assessores / Chefias)</t>
        </is>
      </c>
      <c r="C2383" s="4" t="inlineStr">
        <is>
          <t>Comissionado (DAS)</t>
        </is>
      </c>
      <c r="D2383" s="4" t="inlineStr">
        <is>
          <t>Diversas</t>
        </is>
      </c>
      <c r="E2383" s="6" t="n">
        <v>6954.67</v>
      </c>
      <c r="F2383" s="6">
        <f>E2383*0.22</f>
        <v/>
      </c>
      <c r="G2383" s="6">
        <f>E2383+F2383</f>
        <v/>
      </c>
      <c r="H2383" s="10" t="n">
        <v>3</v>
      </c>
      <c r="I2383" s="7">
        <f>H2383/(180*0.714)</f>
        <v/>
      </c>
    </row>
    <row r="2384">
      <c r="A2384" s="4" t="inlineStr">
        <is>
          <t>SERV-12380</t>
        </is>
      </c>
      <c r="B2384" s="5" t="inlineStr">
        <is>
          <t>Cargos Comissionados (Assessores / Chefias)</t>
        </is>
      </c>
      <c r="C2384" s="4" t="inlineStr">
        <is>
          <t>Comissionado (DAS)</t>
        </is>
      </c>
      <c r="D2384" s="4" t="inlineStr">
        <is>
          <t>Diversas</t>
        </is>
      </c>
      <c r="E2384" s="6" t="n">
        <v>8199.83</v>
      </c>
      <c r="F2384" s="6">
        <f>E2384*0.22</f>
        <v/>
      </c>
      <c r="G2384" s="6">
        <f>E2384+F2384</f>
        <v/>
      </c>
      <c r="H2384" s="10" t="n">
        <v>1</v>
      </c>
      <c r="I2384" s="7">
        <f>H2384/(180*0.714)</f>
        <v/>
      </c>
    </row>
    <row r="2385">
      <c r="A2385" s="4" t="inlineStr">
        <is>
          <t>SERV-12381</t>
        </is>
      </c>
      <c r="B2385" s="5" t="inlineStr">
        <is>
          <t>Cargos Comissionados (Assessores / Chefias)</t>
        </is>
      </c>
      <c r="C2385" s="4" t="inlineStr">
        <is>
          <t>Comissionado (DAS)</t>
        </is>
      </c>
      <c r="D2385" s="4" t="inlineStr">
        <is>
          <t>Diversas</t>
        </is>
      </c>
      <c r="E2385" s="6" t="n">
        <v>7001.96</v>
      </c>
      <c r="F2385" s="6">
        <f>E2385*0.22</f>
        <v/>
      </c>
      <c r="G2385" s="6">
        <f>E2385+F2385</f>
        <v/>
      </c>
      <c r="H2385" s="10" t="n">
        <v>2</v>
      </c>
      <c r="I2385" s="7">
        <f>H2385/(180*0.714)</f>
        <v/>
      </c>
    </row>
    <row r="2386">
      <c r="A2386" s="4" t="inlineStr">
        <is>
          <t>SERV-12382</t>
        </is>
      </c>
      <c r="B2386" s="5" t="inlineStr">
        <is>
          <t>Cargos Comissionados (Assessores / Chefias)</t>
        </is>
      </c>
      <c r="C2386" s="4" t="inlineStr">
        <is>
          <t>Comissionado (DAS)</t>
        </is>
      </c>
      <c r="D2386" s="4" t="inlineStr">
        <is>
          <t>Diversas</t>
        </is>
      </c>
      <c r="E2386" s="6" t="n">
        <v>7822.48</v>
      </c>
      <c r="F2386" s="6">
        <f>E2386*0.22</f>
        <v/>
      </c>
      <c r="G2386" s="6">
        <f>E2386+F2386</f>
        <v/>
      </c>
      <c r="H2386" s="10" t="n">
        <v>0</v>
      </c>
      <c r="I2386" s="7">
        <f>H2386/(180*0.714)</f>
        <v/>
      </c>
    </row>
    <row r="2387">
      <c r="A2387" s="4" t="inlineStr">
        <is>
          <t>SERV-12383</t>
        </is>
      </c>
      <c r="B2387" s="5" t="inlineStr">
        <is>
          <t>Cargos Comissionados (Assessores / Chefias)</t>
        </is>
      </c>
      <c r="C2387" s="4" t="inlineStr">
        <is>
          <t>Comissionado (DAS)</t>
        </is>
      </c>
      <c r="D2387" s="4" t="inlineStr">
        <is>
          <t>Diversas</t>
        </is>
      </c>
      <c r="E2387" s="6" t="n">
        <v>7716.35</v>
      </c>
      <c r="F2387" s="6">
        <f>E2387*0.22</f>
        <v/>
      </c>
      <c r="G2387" s="6">
        <f>E2387+F2387</f>
        <v/>
      </c>
      <c r="H2387" s="10" t="n">
        <v>0</v>
      </c>
      <c r="I2387" s="7">
        <f>H2387/(180*0.714)</f>
        <v/>
      </c>
    </row>
    <row r="2388">
      <c r="A2388" s="4" t="inlineStr">
        <is>
          <t>SERV-12384</t>
        </is>
      </c>
      <c r="B2388" s="5" t="inlineStr">
        <is>
          <t>Cargos Comissionados (Assessores / Chefias)</t>
        </is>
      </c>
      <c r="C2388" s="4" t="inlineStr">
        <is>
          <t>Comissionado (DAS)</t>
        </is>
      </c>
      <c r="D2388" s="4" t="inlineStr">
        <is>
          <t>Diversas</t>
        </is>
      </c>
      <c r="E2388" s="6" t="n">
        <v>6908.99</v>
      </c>
      <c r="F2388" s="6">
        <f>E2388*0.22</f>
        <v/>
      </c>
      <c r="G2388" s="6">
        <f>E2388+F2388</f>
        <v/>
      </c>
      <c r="H2388" s="10" t="n">
        <v>3</v>
      </c>
      <c r="I2388" s="7">
        <f>H2388/(180*0.714)</f>
        <v/>
      </c>
    </row>
    <row r="2389">
      <c r="A2389" s="4" t="inlineStr">
        <is>
          <t>SERV-12385</t>
        </is>
      </c>
      <c r="B2389" s="5" t="inlineStr">
        <is>
          <t>Cargos Comissionados (Assessores / Chefias)</t>
        </is>
      </c>
      <c r="C2389" s="4" t="inlineStr">
        <is>
          <t>Comissionado (DAS)</t>
        </is>
      </c>
      <c r="D2389" s="4" t="inlineStr">
        <is>
          <t>Diversas</t>
        </is>
      </c>
      <c r="E2389" s="6" t="n">
        <v>7211.02</v>
      </c>
      <c r="F2389" s="6">
        <f>E2389*0.22</f>
        <v/>
      </c>
      <c r="G2389" s="6">
        <f>E2389+F2389</f>
        <v/>
      </c>
      <c r="H2389" s="10" t="n">
        <v>2</v>
      </c>
      <c r="I2389" s="7">
        <f>H2389/(180*0.714)</f>
        <v/>
      </c>
    </row>
    <row r="2390">
      <c r="A2390" s="4" t="inlineStr">
        <is>
          <t>SERV-12386</t>
        </is>
      </c>
      <c r="B2390" s="5" t="inlineStr">
        <is>
          <t>Cargos Comissionados (Assessores / Chefias)</t>
        </is>
      </c>
      <c r="C2390" s="4" t="inlineStr">
        <is>
          <t>Comissionado (DAS)</t>
        </is>
      </c>
      <c r="D2390" s="4" t="inlineStr">
        <is>
          <t>Diversas</t>
        </is>
      </c>
      <c r="E2390" s="6" t="n">
        <v>7845.55</v>
      </c>
      <c r="F2390" s="6">
        <f>E2390*0.22</f>
        <v/>
      </c>
      <c r="G2390" s="6">
        <f>E2390+F2390</f>
        <v/>
      </c>
      <c r="H2390" s="10" t="n">
        <v>0</v>
      </c>
      <c r="I2390" s="7">
        <f>H2390/(180*0.714)</f>
        <v/>
      </c>
    </row>
    <row r="2391">
      <c r="A2391" s="4" t="inlineStr">
        <is>
          <t>SERV-12387</t>
        </is>
      </c>
      <c r="B2391" s="5" t="inlineStr">
        <is>
          <t>Cargos Comissionados (Assessores / Chefias)</t>
        </is>
      </c>
      <c r="C2391" s="4" t="inlineStr">
        <is>
          <t>Comissionado (DAS)</t>
        </is>
      </c>
      <c r="D2391" s="4" t="inlineStr">
        <is>
          <t>Diversas</t>
        </is>
      </c>
      <c r="E2391" s="6" t="n">
        <v>7888.57</v>
      </c>
      <c r="F2391" s="6">
        <f>E2391*0.22</f>
        <v/>
      </c>
      <c r="G2391" s="6">
        <f>E2391+F2391</f>
        <v/>
      </c>
      <c r="H2391" s="10" t="n">
        <v>3</v>
      </c>
      <c r="I2391" s="7">
        <f>H2391/(180*0.714)</f>
        <v/>
      </c>
    </row>
    <row r="2392">
      <c r="A2392" s="4" t="inlineStr">
        <is>
          <t>SERV-12388</t>
        </is>
      </c>
      <c r="B2392" s="5" t="inlineStr">
        <is>
          <t>Cargos Comissionados (Assessores / Chefias)</t>
        </is>
      </c>
      <c r="C2392" s="4" t="inlineStr">
        <is>
          <t>Comissionado (DAS)</t>
        </is>
      </c>
      <c r="D2392" s="4" t="inlineStr">
        <is>
          <t>Diversas</t>
        </is>
      </c>
      <c r="E2392" s="6" t="n">
        <v>7292.15</v>
      </c>
      <c r="F2392" s="6">
        <f>E2392*0.22</f>
        <v/>
      </c>
      <c r="G2392" s="6">
        <f>E2392+F2392</f>
        <v/>
      </c>
      <c r="H2392" s="10" t="n">
        <v>3</v>
      </c>
      <c r="I2392" s="7">
        <f>H2392/(180*0.714)</f>
        <v/>
      </c>
    </row>
    <row r="2393">
      <c r="A2393" s="4" t="inlineStr">
        <is>
          <t>SERV-12389</t>
        </is>
      </c>
      <c r="B2393" s="5" t="inlineStr">
        <is>
          <t>Cargos Comissionados (Assessores / Chefias)</t>
        </is>
      </c>
      <c r="C2393" s="4" t="inlineStr">
        <is>
          <t>Comissionado (DAS)</t>
        </is>
      </c>
      <c r="D2393" s="4" t="inlineStr">
        <is>
          <t>Diversas</t>
        </is>
      </c>
      <c r="E2393" s="6" t="n">
        <v>8101.89</v>
      </c>
      <c r="F2393" s="6">
        <f>E2393*0.22</f>
        <v/>
      </c>
      <c r="G2393" s="6">
        <f>E2393+F2393</f>
        <v/>
      </c>
      <c r="H2393" s="10" t="n">
        <v>3</v>
      </c>
      <c r="I2393" s="7">
        <f>H2393/(180*0.714)</f>
        <v/>
      </c>
    </row>
    <row r="2394">
      <c r="A2394" s="4" t="inlineStr">
        <is>
          <t>SERV-12390</t>
        </is>
      </c>
      <c r="B2394" s="5" t="inlineStr">
        <is>
          <t>Cargos Comissionados (Assessores / Chefias)</t>
        </is>
      </c>
      <c r="C2394" s="4" t="inlineStr">
        <is>
          <t>Comissionado (DAS)</t>
        </is>
      </c>
      <c r="D2394" s="4" t="inlineStr">
        <is>
          <t>Diversas</t>
        </is>
      </c>
      <c r="E2394" s="6" t="n">
        <v>7758.81</v>
      </c>
      <c r="F2394" s="6">
        <f>E2394*0.22</f>
        <v/>
      </c>
      <c r="G2394" s="6">
        <f>E2394+F2394</f>
        <v/>
      </c>
      <c r="H2394" s="10" t="n">
        <v>0</v>
      </c>
      <c r="I2394" s="7">
        <f>H2394/(180*0.714)</f>
        <v/>
      </c>
    </row>
    <row r="2395">
      <c r="A2395" s="4" t="inlineStr">
        <is>
          <t>SERV-12391</t>
        </is>
      </c>
      <c r="B2395" s="5" t="inlineStr">
        <is>
          <t>Cargos Comissionados (Assessores / Chefias)</t>
        </is>
      </c>
      <c r="C2395" s="4" t="inlineStr">
        <is>
          <t>Comissionado (DAS)</t>
        </is>
      </c>
      <c r="D2395" s="4" t="inlineStr">
        <is>
          <t>Diversas</t>
        </is>
      </c>
      <c r="E2395" s="6" t="n">
        <v>7315.86</v>
      </c>
      <c r="F2395" s="6">
        <f>E2395*0.22</f>
        <v/>
      </c>
      <c r="G2395" s="6">
        <f>E2395+F2395</f>
        <v/>
      </c>
      <c r="H2395" s="10" t="n">
        <v>0</v>
      </c>
      <c r="I2395" s="7">
        <f>H2395/(180*0.714)</f>
        <v/>
      </c>
    </row>
    <row r="2396">
      <c r="A2396" s="4" t="inlineStr">
        <is>
          <t>SERV-12392</t>
        </is>
      </c>
      <c r="B2396" s="5" t="inlineStr">
        <is>
          <t>Cargos Comissionados (Assessores / Chefias)</t>
        </is>
      </c>
      <c r="C2396" s="4" t="inlineStr">
        <is>
          <t>Comissionado (DAS)</t>
        </is>
      </c>
      <c r="D2396" s="4" t="inlineStr">
        <is>
          <t>Diversas</t>
        </is>
      </c>
      <c r="E2396" s="6" t="n">
        <v>7304.98</v>
      </c>
      <c r="F2396" s="6">
        <f>E2396*0.22</f>
        <v/>
      </c>
      <c r="G2396" s="6">
        <f>E2396+F2396</f>
        <v/>
      </c>
      <c r="H2396" s="10" t="n">
        <v>0</v>
      </c>
      <c r="I2396" s="7">
        <f>H2396/(180*0.714)</f>
        <v/>
      </c>
    </row>
    <row r="2397">
      <c r="A2397" s="4" t="inlineStr">
        <is>
          <t>SERV-12393</t>
        </is>
      </c>
      <c r="B2397" s="5" t="inlineStr">
        <is>
          <t>Cargos Comissionados (Assessores / Chefias)</t>
        </is>
      </c>
      <c r="C2397" s="4" t="inlineStr">
        <is>
          <t>Comissionado (DAS)</t>
        </is>
      </c>
      <c r="D2397" s="4" t="inlineStr">
        <is>
          <t>Diversas</t>
        </is>
      </c>
      <c r="E2397" s="6" t="n">
        <v>7878.16</v>
      </c>
      <c r="F2397" s="6">
        <f>E2397*0.22</f>
        <v/>
      </c>
      <c r="G2397" s="6">
        <f>E2397+F2397</f>
        <v/>
      </c>
      <c r="H2397" s="10" t="n">
        <v>0</v>
      </c>
      <c r="I2397" s="7">
        <f>H2397/(180*0.714)</f>
        <v/>
      </c>
    </row>
    <row r="2398">
      <c r="A2398" s="4" t="inlineStr">
        <is>
          <t>SERV-12394</t>
        </is>
      </c>
      <c r="B2398" s="5" t="inlineStr">
        <is>
          <t>Cargos Comissionados (Assessores / Chefias)</t>
        </is>
      </c>
      <c r="C2398" s="4" t="inlineStr">
        <is>
          <t>Comissionado (DAS)</t>
        </is>
      </c>
      <c r="D2398" s="4" t="inlineStr">
        <is>
          <t>Diversas</t>
        </is>
      </c>
      <c r="E2398" s="6" t="n">
        <v>8322.18</v>
      </c>
      <c r="F2398" s="6">
        <f>E2398*0.22</f>
        <v/>
      </c>
      <c r="G2398" s="6">
        <f>E2398+F2398</f>
        <v/>
      </c>
      <c r="H2398" s="10" t="n">
        <v>0</v>
      </c>
      <c r="I2398" s="7">
        <f>H2398/(180*0.714)</f>
        <v/>
      </c>
    </row>
    <row r="2399">
      <c r="A2399" s="4" t="inlineStr">
        <is>
          <t>SERV-12395</t>
        </is>
      </c>
      <c r="B2399" s="5" t="inlineStr">
        <is>
          <t>Cargos Comissionados (Assessores / Chefias)</t>
        </is>
      </c>
      <c r="C2399" s="4" t="inlineStr">
        <is>
          <t>Comissionado (DAS)</t>
        </is>
      </c>
      <c r="D2399" s="4" t="inlineStr">
        <is>
          <t>Diversas</t>
        </is>
      </c>
      <c r="E2399" s="6" t="n">
        <v>7342.82</v>
      </c>
      <c r="F2399" s="6">
        <f>E2399*0.22</f>
        <v/>
      </c>
      <c r="G2399" s="6">
        <f>E2399+F2399</f>
        <v/>
      </c>
      <c r="H2399" s="10" t="n">
        <v>3</v>
      </c>
      <c r="I2399" s="7">
        <f>H2399/(180*0.714)</f>
        <v/>
      </c>
    </row>
    <row r="2400">
      <c r="A2400" s="4" t="inlineStr">
        <is>
          <t>SERV-12396</t>
        </is>
      </c>
      <c r="B2400" s="5" t="inlineStr">
        <is>
          <t>Cargos Comissionados (Assessores / Chefias)</t>
        </is>
      </c>
      <c r="C2400" s="4" t="inlineStr">
        <is>
          <t>Comissionado (DAS)</t>
        </is>
      </c>
      <c r="D2400" s="4" t="inlineStr">
        <is>
          <t>Diversas</t>
        </is>
      </c>
      <c r="E2400" s="6" t="n">
        <v>7422.64</v>
      </c>
      <c r="F2400" s="6">
        <f>E2400*0.22</f>
        <v/>
      </c>
      <c r="G2400" s="6">
        <f>E2400+F2400</f>
        <v/>
      </c>
      <c r="H2400" s="10" t="n">
        <v>2</v>
      </c>
      <c r="I2400" s="7">
        <f>H2400/(180*0.714)</f>
        <v/>
      </c>
    </row>
    <row r="2401">
      <c r="A2401" s="4" t="inlineStr">
        <is>
          <t>SERV-12397</t>
        </is>
      </c>
      <c r="B2401" s="5" t="inlineStr">
        <is>
          <t>Secretários Municipais e Prefeito</t>
        </is>
      </c>
      <c r="C2401" s="4" t="inlineStr">
        <is>
          <t>Agente Político</t>
        </is>
      </c>
      <c r="D2401" s="4" t="inlineStr">
        <is>
          <t>Gabinete / SEC</t>
        </is>
      </c>
      <c r="E2401" s="6" t="n">
        <v>17252.42</v>
      </c>
      <c r="F2401" s="6">
        <f>E2401*0.22</f>
        <v/>
      </c>
      <c r="G2401" s="6">
        <f>E2401+F2401</f>
        <v/>
      </c>
      <c r="H2401" s="10" t="n">
        <v>0</v>
      </c>
      <c r="I2401" s="7">
        <f>H2401/(180*0.714)</f>
        <v/>
      </c>
    </row>
    <row r="2402">
      <c r="A2402" s="4" t="inlineStr">
        <is>
          <t>SERV-12398</t>
        </is>
      </c>
      <c r="B2402" s="5" t="inlineStr">
        <is>
          <t>Secretários Municipais e Prefeito</t>
        </is>
      </c>
      <c r="C2402" s="4" t="inlineStr">
        <is>
          <t>Agente Político</t>
        </is>
      </c>
      <c r="D2402" s="4" t="inlineStr">
        <is>
          <t>Gabinete / SEC</t>
        </is>
      </c>
      <c r="E2402" s="6" t="n">
        <v>18537.11</v>
      </c>
      <c r="F2402" s="6">
        <f>E2402*0.22</f>
        <v/>
      </c>
      <c r="G2402" s="6">
        <f>E2402+F2402</f>
        <v/>
      </c>
      <c r="H2402" s="10" t="n">
        <v>0</v>
      </c>
      <c r="I2402" s="7">
        <f>H2402/(180*0.714)</f>
        <v/>
      </c>
    </row>
    <row r="2403">
      <c r="A2403" s="4" t="inlineStr">
        <is>
          <t>SERV-12399</t>
        </is>
      </c>
      <c r="B2403" s="5" t="inlineStr">
        <is>
          <t>Secretários Municipais e Prefeito</t>
        </is>
      </c>
      <c r="C2403" s="4" t="inlineStr">
        <is>
          <t>Agente Político</t>
        </is>
      </c>
      <c r="D2403" s="4" t="inlineStr">
        <is>
          <t>Gabinete / SEC</t>
        </is>
      </c>
      <c r="E2403" s="6" t="n">
        <v>20441.23</v>
      </c>
      <c r="F2403" s="6">
        <f>E2403*0.22</f>
        <v/>
      </c>
      <c r="G2403" s="6">
        <f>E2403+F2403</f>
        <v/>
      </c>
      <c r="H2403" s="10" t="n">
        <v>0</v>
      </c>
      <c r="I2403" s="7">
        <f>H2403/(180*0.714)</f>
        <v/>
      </c>
    </row>
    <row r="2404">
      <c r="A2404" s="4" t="inlineStr">
        <is>
          <t>SERV-12400</t>
        </is>
      </c>
      <c r="B2404" s="5" t="inlineStr">
        <is>
          <t>Secretários Municipais e Prefeito</t>
        </is>
      </c>
      <c r="C2404" s="4" t="inlineStr">
        <is>
          <t>Agente Político</t>
        </is>
      </c>
      <c r="D2404" s="4" t="inlineStr">
        <is>
          <t>Gabinete / SEC</t>
        </is>
      </c>
      <c r="E2404" s="6" t="n">
        <v>19945.09</v>
      </c>
      <c r="F2404" s="6">
        <f>E2404*0.22</f>
        <v/>
      </c>
      <c r="G2404" s="6">
        <f>E2404+F2404</f>
        <v/>
      </c>
      <c r="H2404" s="10" t="n">
        <v>0</v>
      </c>
      <c r="I2404" s="7">
        <f>H2404/(180*0.714)</f>
        <v/>
      </c>
    </row>
    <row r="2405">
      <c r="A2405" s="4" t="inlineStr">
        <is>
          <t>SERV-12401</t>
        </is>
      </c>
      <c r="B2405" s="5" t="inlineStr">
        <is>
          <t>Secretários Municipais e Prefeito</t>
        </is>
      </c>
      <c r="C2405" s="4" t="inlineStr">
        <is>
          <t>Agente Político</t>
        </is>
      </c>
      <c r="D2405" s="4" t="inlineStr">
        <is>
          <t>Gabinete / SEC</t>
        </is>
      </c>
      <c r="E2405" s="6" t="n">
        <v>18552.15</v>
      </c>
      <c r="F2405" s="6">
        <f>E2405*0.22</f>
        <v/>
      </c>
      <c r="G2405" s="6">
        <f>E2405+F2405</f>
        <v/>
      </c>
      <c r="H2405" s="10" t="n">
        <v>0</v>
      </c>
      <c r="I2405" s="7">
        <f>H2405/(180*0.714)</f>
        <v/>
      </c>
    </row>
    <row r="2406">
      <c r="A2406" s="4" t="inlineStr">
        <is>
          <t>SERV-12402</t>
        </is>
      </c>
      <c r="B2406" s="5" t="inlineStr">
        <is>
          <t>Secretários Municipais e Prefeito</t>
        </is>
      </c>
      <c r="C2406" s="4" t="inlineStr">
        <is>
          <t>Agente Político</t>
        </is>
      </c>
      <c r="D2406" s="4" t="inlineStr">
        <is>
          <t>Gabinete / SEC</t>
        </is>
      </c>
      <c r="E2406" s="6" t="n">
        <v>17901.36</v>
      </c>
      <c r="F2406" s="6">
        <f>E2406*0.22</f>
        <v/>
      </c>
      <c r="G2406" s="6">
        <f>E2406+F2406</f>
        <v/>
      </c>
      <c r="H2406" s="10" t="n">
        <v>0</v>
      </c>
      <c r="I2406" s="7">
        <f>H2406/(180*0.714)</f>
        <v/>
      </c>
    </row>
    <row r="2407">
      <c r="A2407" s="4" t="inlineStr">
        <is>
          <t>SERV-12403</t>
        </is>
      </c>
      <c r="B2407" s="5" t="inlineStr">
        <is>
          <t>Secretários Municipais e Prefeito</t>
        </is>
      </c>
      <c r="C2407" s="4" t="inlineStr">
        <is>
          <t>Agente Político</t>
        </is>
      </c>
      <c r="D2407" s="4" t="inlineStr">
        <is>
          <t>Gabinete / SEC</t>
        </is>
      </c>
      <c r="E2407" s="6" t="n">
        <v>20242.58</v>
      </c>
      <c r="F2407" s="6">
        <f>E2407*0.22</f>
        <v/>
      </c>
      <c r="G2407" s="6">
        <f>E2407+F2407</f>
        <v/>
      </c>
      <c r="H2407" s="10" t="n">
        <v>0</v>
      </c>
      <c r="I2407" s="7">
        <f>H2407/(180*0.714)</f>
        <v/>
      </c>
    </row>
    <row r="2408">
      <c r="A2408" s="4" t="inlineStr">
        <is>
          <t>SERV-12404</t>
        </is>
      </c>
      <c r="B2408" s="5" t="inlineStr">
        <is>
          <t>Secretários Municipais e Prefeito</t>
        </is>
      </c>
      <c r="C2408" s="4" t="inlineStr">
        <is>
          <t>Agente Político</t>
        </is>
      </c>
      <c r="D2408" s="4" t="inlineStr">
        <is>
          <t>Gabinete / SEC</t>
        </is>
      </c>
      <c r="E2408" s="6" t="n">
        <v>17565.82</v>
      </c>
      <c r="F2408" s="6">
        <f>E2408*0.22</f>
        <v/>
      </c>
      <c r="G2408" s="6">
        <f>E2408+F2408</f>
        <v/>
      </c>
      <c r="H2408" s="10" t="n">
        <v>0</v>
      </c>
      <c r="I2408" s="7">
        <f>H2408/(180*0.714)</f>
        <v/>
      </c>
    </row>
    <row r="2409">
      <c r="A2409" s="4" t="inlineStr">
        <is>
          <t>SERV-12405</t>
        </is>
      </c>
      <c r="B2409" s="5" t="inlineStr">
        <is>
          <t>Secretários Municipais e Prefeito</t>
        </is>
      </c>
      <c r="C2409" s="4" t="inlineStr">
        <is>
          <t>Agente Político</t>
        </is>
      </c>
      <c r="D2409" s="4" t="inlineStr">
        <is>
          <t>Gabinete / SEC</t>
        </is>
      </c>
      <c r="E2409" s="6" t="n">
        <v>18850.54</v>
      </c>
      <c r="F2409" s="6">
        <f>E2409*0.22</f>
        <v/>
      </c>
      <c r="G2409" s="6">
        <f>E2409+F2409</f>
        <v/>
      </c>
      <c r="H2409" s="10" t="n">
        <v>0</v>
      </c>
      <c r="I2409" s="7">
        <f>H2409/(180*0.714)</f>
        <v/>
      </c>
    </row>
    <row r="2410">
      <c r="A2410" s="4" t="inlineStr">
        <is>
          <t>SERV-12406</t>
        </is>
      </c>
      <c r="B2410" s="5" t="inlineStr">
        <is>
          <t>Secretários Municipais e Prefeito</t>
        </is>
      </c>
      <c r="C2410" s="4" t="inlineStr">
        <is>
          <t>Agente Político</t>
        </is>
      </c>
      <c r="D2410" s="4" t="inlineStr">
        <is>
          <t>Gabinete / SEC</t>
        </is>
      </c>
      <c r="E2410" s="6" t="n">
        <v>20012.19</v>
      </c>
      <c r="F2410" s="6">
        <f>E2410*0.22</f>
        <v/>
      </c>
      <c r="G2410" s="6">
        <f>E2410+F2410</f>
        <v/>
      </c>
      <c r="H2410" s="10" t="n">
        <v>0</v>
      </c>
      <c r="I2410" s="7">
        <f>H2410/(180*0.714)</f>
        <v/>
      </c>
    </row>
    <row r="2411">
      <c r="A2411" s="4" t="inlineStr">
        <is>
          <t>SERV-12407</t>
        </is>
      </c>
      <c r="B2411" s="5" t="inlineStr">
        <is>
          <t>Secretários Municipais e Prefeito</t>
        </is>
      </c>
      <c r="C2411" s="4" t="inlineStr">
        <is>
          <t>Agente Político</t>
        </is>
      </c>
      <c r="D2411" s="4" t="inlineStr">
        <is>
          <t>Gabinete / SEC</t>
        </is>
      </c>
      <c r="E2411" s="6" t="n">
        <v>18318.57</v>
      </c>
      <c r="F2411" s="6">
        <f>E2411*0.22</f>
        <v/>
      </c>
      <c r="G2411" s="6">
        <f>E2411+F2411</f>
        <v/>
      </c>
      <c r="H2411" s="10" t="n">
        <v>0</v>
      </c>
      <c r="I2411" s="7">
        <f>H2411/(180*0.714)</f>
        <v/>
      </c>
    </row>
    <row r="2412">
      <c r="A2412" s="4" t="inlineStr">
        <is>
          <t>SERV-12408</t>
        </is>
      </c>
      <c r="B2412" s="5" t="inlineStr">
        <is>
          <t>Secretários Municipais e Prefeito</t>
        </is>
      </c>
      <c r="C2412" s="4" t="inlineStr">
        <is>
          <t>Agente Político</t>
        </is>
      </c>
      <c r="D2412" s="4" t="inlineStr">
        <is>
          <t>Gabinete / SEC</t>
        </is>
      </c>
      <c r="E2412" s="6" t="n">
        <v>20275.86</v>
      </c>
      <c r="F2412" s="6">
        <f>E2412*0.22</f>
        <v/>
      </c>
      <c r="G2412" s="6">
        <f>E2412+F2412</f>
        <v/>
      </c>
      <c r="H2412" s="10" t="n">
        <v>0</v>
      </c>
      <c r="I2412" s="7">
        <f>H2412/(180*0.714)</f>
        <v/>
      </c>
    </row>
    <row r="2413">
      <c r="A2413" s="4" t="inlineStr">
        <is>
          <t>SERV-12409</t>
        </is>
      </c>
      <c r="B2413" s="5" t="inlineStr">
        <is>
          <t>Secretários Municipais e Prefeito</t>
        </is>
      </c>
      <c r="C2413" s="4" t="inlineStr">
        <is>
          <t>Agente Político</t>
        </is>
      </c>
      <c r="D2413" s="4" t="inlineStr">
        <is>
          <t>Gabinete / SEC</t>
        </is>
      </c>
      <c r="E2413" s="6" t="n">
        <v>17645.38</v>
      </c>
      <c r="F2413" s="6">
        <f>E2413*0.22</f>
        <v/>
      </c>
      <c r="G2413" s="6">
        <f>E2413+F2413</f>
        <v/>
      </c>
      <c r="H2413" s="10" t="n">
        <v>0</v>
      </c>
      <c r="I2413" s="7">
        <f>H2413/(180*0.714)</f>
        <v/>
      </c>
    </row>
    <row r="2414">
      <c r="F2414" s="8" t="inlineStr">
        <is>
          <t>FOLHA MENSAL TOTAL DA PREFEITURA:</t>
        </is>
      </c>
      <c r="G2414" s="9">
        <f>SUM(G5:G2413)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0" customWidth="1" min="1" max="1"/>
    <col width="46" customWidth="1" min="2" max="2"/>
    <col width="42" customWidth="1" min="3" max="3"/>
    <col width="29" customWidth="1" min="4" max="4"/>
    <col width="38" customWidth="1" min="5" max="5"/>
    <col width="35" customWidth="1" min="6" max="6"/>
    <col width="60" customWidth="1" min="7" max="7"/>
  </cols>
  <sheetData>
    <row r="1">
      <c r="A1" s="1" t="inlineStr">
        <is>
          <t>Mapeamento da Dívida Ativa Municipal e Isenções Fiscais</t>
        </is>
      </c>
    </row>
    <row r="2">
      <c r="A2" s="2" t="inlineStr">
        <is>
          <t>Valores a receber de contribuintes em atraso, prescrição fiscal e renuncias tributárias</t>
        </is>
      </c>
    </row>
    <row r="3"/>
    <row r="4">
      <c r="A4" s="3" t="inlineStr">
        <is>
          <t>Tributo / Origem</t>
        </is>
      </c>
      <c r="B4" s="3" t="inlineStr">
        <is>
          <t>Volume Total Inscrito em Dívida Ativa (BRL)</t>
        </is>
      </c>
      <c r="C4" s="3" t="inlineStr">
        <is>
          <t>Estágio de Cobrança / Execução Judicial</t>
        </is>
      </c>
      <c r="D4" s="3" t="inlineStr">
        <is>
          <t>Recuperação Estimada (BRL)</t>
        </is>
      </c>
      <c r="E4" s="3" t="inlineStr">
        <is>
          <t>Perda por Prescrição (5 Anos) (BRL)</t>
        </is>
      </c>
      <c r="F4" s="3" t="inlineStr">
        <is>
          <t>Renúncia Fiscal / Isenções (BRL)</t>
        </is>
      </c>
      <c r="G4" s="3" t="inlineStr">
        <is>
          <t>Ação Estratégica Recomendada</t>
        </is>
      </c>
    </row>
    <row r="5">
      <c r="A5" s="5" t="inlineStr">
        <is>
          <t>IPTU Residencial e Comercial</t>
        </is>
      </c>
      <c r="B5" s="6" t="n">
        <v>48000000</v>
      </c>
      <c r="C5" s="5" t="inlineStr">
        <is>
          <t>Execução Fiscal Ajuizada</t>
        </is>
      </c>
      <c r="D5" s="6" t="n">
        <v>14400000</v>
      </c>
      <c r="E5" s="6" t="n">
        <v>8500000</v>
      </c>
      <c r="F5" s="6" t="n">
        <v>3200000</v>
      </c>
      <c r="G5" s="5" t="inlineStr">
        <is>
          <t>Programa de Refis com Cobrança Extrajudicial</t>
        </is>
      </c>
    </row>
    <row r="6">
      <c r="A6" s="5" t="inlineStr">
        <is>
          <t>ISSQN Grandes Empresas / Bancos</t>
        </is>
      </c>
      <c r="B6" s="6" t="n">
        <v>22000000</v>
      </c>
      <c r="C6" s="5" t="inlineStr">
        <is>
          <t>Contencioso Administrativo</t>
        </is>
      </c>
      <c r="D6" s="6" t="n">
        <v>15400000</v>
      </c>
      <c r="E6" s="6" t="n">
        <v>1200000</v>
      </c>
      <c r="F6" s="6" t="n">
        <v>4800000</v>
      </c>
      <c r="G6" s="5" t="inlineStr">
        <is>
          <t>Protesto em Cartório e Negativação</t>
        </is>
      </c>
    </row>
    <row r="7">
      <c r="A7" s="5" t="inlineStr">
        <is>
          <t>Taxa de Limpeza Pública</t>
        </is>
      </c>
      <c r="B7" s="6" t="n">
        <v>16500000</v>
      </c>
      <c r="C7" s="5" t="inlineStr">
        <is>
          <t>Inscrição sem Ajuizamento</t>
        </is>
      </c>
      <c r="D7" s="6" t="n">
        <v>3300000</v>
      </c>
      <c r="E7" s="6" t="n">
        <v>4200000</v>
      </c>
      <c r="F7" s="6" t="n">
        <v>900000</v>
      </c>
      <c r="G7" s="5" t="inlineStr">
        <is>
          <t>Conciliação no Parcelamento na Conta de Água</t>
        </is>
      </c>
    </row>
    <row r="8">
      <c r="A8" s="5" t="inlineStr">
        <is>
          <t>Multas de Trânsito e Posturas</t>
        </is>
      </c>
      <c r="B8" s="6" t="n">
        <v>8200000</v>
      </c>
      <c r="C8" s="5" t="inlineStr">
        <is>
          <t>Cobrança Administrativa</t>
        </is>
      </c>
      <c r="D8" s="6" t="n">
        <v>2050000</v>
      </c>
      <c r="E8" s="6" t="n">
        <v>2100000</v>
      </c>
      <c r="F8" s="6" t="n">
        <v>0</v>
      </c>
      <c r="G8" s="5" t="inlineStr">
        <is>
          <t>Desconto para Pagamento À Vista</t>
        </is>
      </c>
    </row>
    <row r="9">
      <c r="A9" s="5" t="inlineStr">
        <is>
          <t>Contribuição de Melhoria / Obras</t>
        </is>
      </c>
      <c r="B9" s="6" t="n">
        <v>5400000</v>
      </c>
      <c r="C9" s="5" t="inlineStr">
        <is>
          <t>Aguardando Notificação</t>
        </is>
      </c>
      <c r="D9" s="6" t="n">
        <v>1080000</v>
      </c>
      <c r="E9" s="6" t="n">
        <v>1500000</v>
      </c>
      <c r="F9" s="6" t="n">
        <v>400000</v>
      </c>
      <c r="G9" s="5" t="inlineStr">
        <is>
          <t>Atualização do Cadastro Imobiliário / Georreferenciamento</t>
        </is>
      </c>
    </row>
    <row r="10">
      <c r="A10" s="11" t="inlineStr">
        <is>
          <t>TOTAL GERAL DÍVIDA ATIVA:</t>
        </is>
      </c>
      <c r="B10" s="9">
        <f>SUM(B5:B9)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8" customWidth="1" min="1" max="1"/>
    <col width="53" customWidth="1" min="2" max="2"/>
    <col width="68" customWidth="1" min="3" max="3"/>
    <col width="24" customWidth="1" min="4" max="4"/>
    <col width="47" customWidth="1" min="5" max="5"/>
  </cols>
  <sheetData>
    <row r="1">
      <c r="A1" s="1" t="inlineStr">
        <is>
          <t>Balanço Orçamentário Consolidado e Verificação dos Limites da LRF</t>
        </is>
      </c>
    </row>
    <row r="2">
      <c r="A2" s="2" t="inlineStr">
        <is>
          <t>Acompanhamento do Déficit Fiscal, Regra de Ouro da LRF e Gastos com Pessoal</t>
        </is>
      </c>
    </row>
    <row r="3"/>
    <row r="4">
      <c r="A4" s="3" t="inlineStr">
        <is>
          <t>Indicador Fiscal / Regra da LRF</t>
        </is>
      </c>
      <c r="B4" s="3" t="inlineStr">
        <is>
          <t>Base de Cálculo / Rubrica</t>
        </is>
      </c>
      <c r="C4" s="3" t="inlineStr">
        <is>
          <t>Valor Atual (BRL / %)</t>
        </is>
      </c>
      <c r="D4" s="3" t="inlineStr">
        <is>
          <t>Limite Legal LRF (%)</t>
        </is>
      </c>
      <c r="E4" s="3" t="inlineStr">
        <is>
          <t>Status de Conformidade</t>
        </is>
      </c>
    </row>
    <row r="5">
      <c r="A5" s="5" t="inlineStr">
        <is>
          <t>1. Receita Corrente Líquida (RCL) 12M</t>
        </is>
      </c>
      <c r="B5" s="5" t="inlineStr">
        <is>
          <t>Base para apuração dos limites da LRF</t>
        </is>
      </c>
      <c r="C5" s="6">
        <f>'Detalhamento das Receitas'!E19</f>
        <v/>
      </c>
      <c r="D5" s="5" t="inlineStr">
        <is>
          <t>-</t>
        </is>
      </c>
      <c r="E5" s="5" t="inlineStr">
        <is>
          <t>Base de Apuração</t>
        </is>
      </c>
    </row>
    <row r="6">
      <c r="A6" s="5" t="inlineStr">
        <is>
          <t>2. Despesa Total com Pessoal (DTP)</t>
        </is>
      </c>
      <c r="B6" s="5" t="inlineStr">
        <is>
          <t>Soma das despesas de pessoal de todos os poderes</t>
        </is>
      </c>
      <c r="C6" s="6">
        <f>'Despesas por Secretaria'!F14</f>
        <v/>
      </c>
      <c r="D6" s="5" t="inlineStr">
        <is>
          <t>54.0% da RCL</t>
        </is>
      </c>
      <c r="E6" s="5" t="inlineStr">
        <is>
          <t>ALERTA: Próximo ao Limite Prudencial (51.3%)</t>
        </is>
      </c>
    </row>
    <row r="7">
      <c r="A7" s="5" t="inlineStr">
        <is>
          <t>3. Aplicação na Saúde Pública</t>
        </is>
      </c>
      <c r="B7" s="5" t="inlineStr">
        <is>
          <t>Percentual da receita própria aplicada em Saúde</t>
        </is>
      </c>
      <c r="C7" s="7" t="n">
        <v>0.215</v>
      </c>
      <c r="D7" s="5" t="inlineStr">
        <is>
          <t>Mínimo 15.0%</t>
        </is>
      </c>
      <c r="E7" s="5" t="inlineStr">
        <is>
          <t>CONFORME (21.5% Aplicados)</t>
        </is>
      </c>
    </row>
    <row r="8">
      <c r="A8" s="5" t="inlineStr">
        <is>
          <t>4. Aplicação na Educação Básica</t>
        </is>
      </c>
      <c r="B8" s="5" t="inlineStr">
        <is>
          <t>Percentual da receita própria aplicada em Educação</t>
        </is>
      </c>
      <c r="C8" s="7" t="n">
        <v>0.262</v>
      </c>
      <c r="D8" s="5" t="inlineStr">
        <is>
          <t>Mínimo 25.0%</t>
        </is>
      </c>
      <c r="E8" s="5" t="inlineStr">
        <is>
          <t>CONFORME (26.2% Aplicados)</t>
        </is>
      </c>
    </row>
    <row r="9">
      <c r="A9" s="5" t="inlineStr">
        <is>
          <t>5. Aplicação do FUNDEB em Profissionais da Educação</t>
        </is>
      </c>
      <c r="B9" s="5" t="inlineStr">
        <is>
          <t>Percentual repassado para valorização docente</t>
        </is>
      </c>
      <c r="C9" s="7" t="n">
        <v>0.785</v>
      </c>
      <c r="D9" s="5" t="inlineStr">
        <is>
          <t>Mínimo 70.0%</t>
        </is>
      </c>
      <c r="E9" s="5" t="inlineStr">
        <is>
          <t>CONFORME (78.5% Aplicados)</t>
        </is>
      </c>
    </row>
    <row r="10">
      <c r="A10" s="5" t="inlineStr">
        <is>
          <t>6. Resultado Primário (Superavit / Deficit)</t>
        </is>
      </c>
      <c r="B10" s="5" t="inlineStr">
        <is>
          <t>Receitas Primárias Líquidas - Despesas Primárias</t>
        </is>
      </c>
      <c r="C10" s="12">
        <f>'Detalhamento das Receitas'!E19-'Despesas por Secretaria'!E14</f>
        <v/>
      </c>
      <c r="D10" s="5" t="inlineStr">
        <is>
          <t>Metas da LDO</t>
        </is>
      </c>
      <c r="E10" s="5" t="inlineStr">
        <is>
          <t>DÉFICIT FISCAL OPERACIONAL</t>
        </is>
      </c>
    </row>
    <row r="11">
      <c r="A11" s="5" t="inlineStr">
        <is>
          <t>7. Restos a Pagar sem Cobertura Financeira</t>
        </is>
      </c>
      <c r="B11" s="5" t="inlineStr">
        <is>
          <t>Despesas empenhadas e não pagas no fim do mandato</t>
        </is>
      </c>
      <c r="C11" s="12" t="n">
        <v>18200000</v>
      </c>
      <c r="D11" s="5" t="inlineStr">
        <is>
          <t>Art. 42 da LRF (Zero)</t>
        </is>
      </c>
      <c r="E11" s="5" t="inlineStr">
        <is>
          <t>VIOLAÇÃO DO ART. 42 DA LRF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2026-10-15T21:16:58Z</dcterms:created>
  <dcterms:modified xmlns:dcterms="http://purl.org/dc/terms/" xmlns:xsi="http://www.w3.org/2001/XMLSchema-instance" xsi:type="dcterms:W3CDTF">2026-10-15T21:17:00Z</dcterms:modified>
</cp:coreProperties>
</file>